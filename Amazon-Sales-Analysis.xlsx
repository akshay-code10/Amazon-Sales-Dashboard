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Carrer247 Project\Week 3\"/>
    </mc:Choice>
  </mc:AlternateContent>
  <xr:revisionPtr revIDLastSave="0" documentId="13_ncr:1_{64E87D52-322B-43A7-8E0D-A638DC2B983C}" xr6:coauthVersionLast="47" xr6:coauthVersionMax="47" xr10:uidLastSave="{00000000-0000-0000-0000-000000000000}"/>
  <bookViews>
    <workbookView xWindow="-110" yWindow="-110" windowWidth="19420" windowHeight="10300" firstSheet="6" activeTab="8" xr2:uid="{00000000-000D-0000-FFFF-FFFF00000000}"/>
  </bookViews>
  <sheets>
    <sheet name="AmazonSales_RawData" sheetId="1" r:id="rId1"/>
    <sheet name="ProductMaster" sheetId="2" r:id="rId2"/>
    <sheet name="CustomerMaster" sheetId="4" r:id="rId3"/>
    <sheet name="RegionGoals" sheetId="3" r:id="rId4"/>
    <sheet name="AmazonSales_Clean" sheetId="5" r:id="rId5"/>
    <sheet name="Sheet2" sheetId="33" state="hidden" r:id="rId6"/>
    <sheet name="PivotTable" sheetId="12" r:id="rId7"/>
    <sheet name=" Advanced Reporting" sheetId="29" r:id="rId8"/>
    <sheet name="KPI_Dashboard" sheetId="18" r:id="rId9"/>
    <sheet name="Brainstorming Reflection" sheetId="31" r:id="rId10"/>
  </sheets>
  <definedNames>
    <definedName name="_xlnm._FilterDatabase" localSheetId="4" hidden="1">AmazonSales_Clean!$A$1:$T$101</definedName>
    <definedName name="_xlnm._FilterDatabase" localSheetId="1" hidden="1">ProductMaster!$A$1:$E$23</definedName>
    <definedName name="_xlcn.WorksheetConnection_AmazonSales_CleanA1T101" hidden="1">AmazonSales_Clean!$A$1:$T$101</definedName>
    <definedName name="Slicer_Delivery_Status">#N/A</definedName>
    <definedName name="Slicer_Month">#N/A</definedName>
    <definedName name="Slicer_Payment_Method">#N/A</definedName>
    <definedName name="Slicer_Payment_Method1">#N/A</definedName>
    <definedName name="Slicer_Product_Category">#N/A</definedName>
    <definedName name="Slicer_Region">#N/A</definedName>
  </definedNames>
  <calcPr calcId="191029"/>
  <pivotCaches>
    <pivotCache cacheId="0" r:id="rId11"/>
    <pivotCache cacheId="1" r:id="rId12"/>
    <pivotCache cacheId="2" r:id="rId13"/>
    <pivotCache cacheId="3" r:id="rId14"/>
    <pivotCache cacheId="6" r:id="rId15"/>
    <pivotCache cacheId="24" r:id="rId16"/>
    <pivotCache cacheId="27" r:id="rId17"/>
    <pivotCache cacheId="30" r:id="rId18"/>
    <pivotCache cacheId="33" r:id="rId19"/>
  </pivotCaches>
  <extLst>
    <ext xmlns:x14="http://schemas.microsoft.com/office/spreadsheetml/2009/9/main" uri="{876F7934-8845-4945-9796-88D515C7AA90}">
      <x14:pivotCaches>
        <pivotCache cacheId="9"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AmazonSales_Clean!$A$1:$T$1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5" l="1"/>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2" i="5"/>
  <c r="P101" i="5"/>
  <c r="P100" i="5"/>
  <c r="P99" i="5"/>
  <c r="P98" i="5"/>
  <c r="P97" i="5"/>
  <c r="P96" i="5"/>
  <c r="P95" i="5"/>
  <c r="P94" i="5"/>
  <c r="P93" i="5"/>
  <c r="P92" i="5"/>
  <c r="P91" i="5"/>
  <c r="P90" i="5"/>
  <c r="P89" i="5"/>
  <c r="P88" i="5"/>
  <c r="P87" i="5"/>
  <c r="P86" i="5"/>
  <c r="P85" i="5"/>
  <c r="P84" i="5"/>
  <c r="P83" i="5"/>
  <c r="P82" i="5"/>
  <c r="P81" i="5"/>
  <c r="P80" i="5"/>
  <c r="P79" i="5"/>
  <c r="P78" i="5"/>
  <c r="P77" i="5"/>
  <c r="P76" i="5"/>
  <c r="P75" i="5"/>
  <c r="P74" i="5"/>
  <c r="P73" i="5"/>
  <c r="P72" i="5"/>
  <c r="P71" i="5"/>
  <c r="P70" i="5"/>
  <c r="P69" i="5"/>
  <c r="P68" i="5"/>
  <c r="P67" i="5"/>
  <c r="P66" i="5"/>
  <c r="P65" i="5"/>
  <c r="P64" i="5"/>
  <c r="P63" i="5"/>
  <c r="P62" i="5"/>
  <c r="P61" i="5"/>
  <c r="P60" i="5"/>
  <c r="P59" i="5"/>
  <c r="P58" i="5"/>
  <c r="P57" i="5"/>
  <c r="P56" i="5"/>
  <c r="P55" i="5"/>
  <c r="P54" i="5"/>
  <c r="P53" i="5"/>
  <c r="P52" i="5"/>
  <c r="P51" i="5"/>
  <c r="P50" i="5"/>
  <c r="P49" i="5"/>
  <c r="P48" i="5"/>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P8" i="5"/>
  <c r="P7" i="5"/>
  <c r="P6" i="5"/>
  <c r="P5" i="5"/>
  <c r="P4" i="5"/>
  <c r="P3" i="5"/>
  <c r="P2" i="5"/>
  <c r="R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2" i="5"/>
  <c r="F10" i="29"/>
  <c r="F9" i="29"/>
  <c r="F8" i="29"/>
  <c r="F7" i="29"/>
  <c r="F6" i="29"/>
  <c r="F5"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5ED4AA-2E43-4C5D-8695-3991BA7570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7512514-8245-47E2-AAF2-0FD4A000239C}" name="WorksheetConnection_AmazonSales_Clean!$A$1:$T$101" type="102" refreshedVersion="8" minRefreshableVersion="5">
    <extLst>
      <ext xmlns:x15="http://schemas.microsoft.com/office/spreadsheetml/2010/11/main" uri="{DE250136-89BD-433C-8126-D09CA5730AF9}">
        <x15:connection id="Range" autoDelete="1">
          <x15:rangePr sourceName="_xlcn.WorksheetConnection_AmazonSales_CleanA1T101"/>
        </x15:connection>
      </ext>
    </extLst>
  </connection>
</connections>
</file>

<file path=xl/sharedStrings.xml><?xml version="1.0" encoding="utf-8"?>
<sst xmlns="http://schemas.openxmlformats.org/spreadsheetml/2006/main" count="2361" uniqueCount="576">
  <si>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</si>
  <si>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</si>
  <si>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</si>
  <si>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</si>
  <si>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</si>
  <si>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</si>
  <si>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</si>
  <si>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</si>
  <si>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</si>
  <si>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</si>
  <si>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</si>
  <si>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</si>
  <si>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</si>
  <si>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</si>
  <si>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</si>
  <si>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1/2/2024</t>
  </si>
  <si>
    <t>CUST021</t>
  </si>
  <si>
    <t>PROD012</t>
  </si>
  <si>
    <t>North</t>
  </si>
  <si>
    <t>44</t>
  </si>
  <si>
    <t>Apple Pay</t>
  </si>
  <si>
    <t>Cancelled</t>
  </si>
  <si>
    <t>DHL</t>
  </si>
  <si>
    <t>ORD0002</t>
  </si>
  <si>
    <t>2/22/2023</t>
  </si>
  <si>
    <t>2/24/2023</t>
  </si>
  <si>
    <t>CUST029</t>
  </si>
  <si>
    <t>PROD018</t>
  </si>
  <si>
    <t>East</t>
  </si>
  <si>
    <t>384</t>
  </si>
  <si>
    <t>Credit Card</t>
  </si>
  <si>
    <t>Delivered</t>
  </si>
  <si>
    <t>ORD0003</t>
  </si>
  <si>
    <t>10/11/2023</t>
  </si>
  <si>
    <t>PROD013</t>
  </si>
  <si>
    <t>South</t>
  </si>
  <si>
    <t>776</t>
  </si>
  <si>
    <t>In Transit</t>
  </si>
  <si>
    <t>USPS</t>
  </si>
  <si>
    <t>ORD0004</t>
  </si>
  <si>
    <t>5/5/2023</t>
  </si>
  <si>
    <t>5/11/2023</t>
  </si>
  <si>
    <t>CUST044</t>
  </si>
  <si>
    <t>588</t>
  </si>
  <si>
    <t>PayPal</t>
  </si>
  <si>
    <t>UPS</t>
  </si>
  <si>
    <t>ORD0005</t>
  </si>
  <si>
    <t>2/2/2023</t>
  </si>
  <si>
    <t>2/5/2023</t>
  </si>
  <si>
    <t>CUST027</t>
  </si>
  <si>
    <t>PROD010</t>
  </si>
  <si>
    <t>59</t>
  </si>
  <si>
    <t>Amazon Logistics</t>
  </si>
  <si>
    <t>ORD0006</t>
  </si>
  <si>
    <t>11/1/2023</t>
  </si>
  <si>
    <t>11/2/2023</t>
  </si>
  <si>
    <t>CUST009</t>
  </si>
  <si>
    <t>232</t>
  </si>
  <si>
    <t>Amazon Pay</t>
  </si>
  <si>
    <t>ORD0007</t>
  </si>
  <si>
    <t>8/14/2023</t>
  </si>
  <si>
    <t>8/18/2023</t>
  </si>
  <si>
    <t>CUST042</t>
  </si>
  <si>
    <t>PROD020</t>
  </si>
  <si>
    <t>Central</t>
  </si>
  <si>
    <t>315</t>
  </si>
  <si>
    <t>Debit Card</t>
  </si>
  <si>
    <t>ORD0008</t>
  </si>
  <si>
    <t>4/1/2023</t>
  </si>
  <si>
    <t>4/6/2023</t>
  </si>
  <si>
    <t>CUST019</t>
  </si>
  <si>
    <t>PROD021</t>
  </si>
  <si>
    <t>West</t>
  </si>
  <si>
    <t>185</t>
  </si>
  <si>
    <t>ORD0009</t>
  </si>
  <si>
    <t>7/21/2023</t>
  </si>
  <si>
    <t>CUST013</t>
  </si>
  <si>
    <t>PROD019</t>
  </si>
  <si>
    <t>88</t>
  </si>
  <si>
    <t>ORD0010</t>
  </si>
  <si>
    <t>12/29/2023</t>
  </si>
  <si>
    <t>PROD003</t>
  </si>
  <si>
    <t>564</t>
  </si>
  <si>
    <t>ORD0011</t>
  </si>
  <si>
    <t>5/4/2023</t>
  </si>
  <si>
    <t>5/8/2023</t>
  </si>
  <si>
    <t>CUST046</t>
  </si>
  <si>
    <t>PROD014</t>
  </si>
  <si>
    <t>249</t>
  </si>
  <si>
    <t>ORD0012</t>
  </si>
  <si>
    <t>7/25/2023</t>
  </si>
  <si>
    <t>CUST045</t>
  </si>
  <si>
    <t>741</t>
  </si>
  <si>
    <t>FedEx</t>
  </si>
  <si>
    <t>ORD0013</t>
  </si>
  <si>
    <t>2/25/2023</t>
  </si>
  <si>
    <t>2/28/2023</t>
  </si>
  <si>
    <t>CUST023</t>
  </si>
  <si>
    <t>PROD006</t>
  </si>
  <si>
    <t>96</t>
  </si>
  <si>
    <t>ORD0014</t>
  </si>
  <si>
    <t>CUST033</t>
  </si>
  <si>
    <t>PROD017</t>
  </si>
  <si>
    <t>370</t>
  </si>
  <si>
    <t>ORD0015</t>
  </si>
  <si>
    <t>8/26/2023</t>
  </si>
  <si>
    <t>9/2/2023</t>
  </si>
  <si>
    <t>PROD005</t>
  </si>
  <si>
    <t>27</t>
  </si>
  <si>
    <t>ORD0016</t>
  </si>
  <si>
    <t>2/13/2023</t>
  </si>
  <si>
    <t>CUST047</t>
  </si>
  <si>
    <t>81</t>
  </si>
  <si>
    <t>ORD0017</t>
  </si>
  <si>
    <t>6/28/2023</t>
  </si>
  <si>
    <t>7/1/2023</t>
  </si>
  <si>
    <t>PROD015</t>
  </si>
  <si>
    <t>63</t>
  </si>
  <si>
    <t>ORD0018</t>
  </si>
  <si>
    <t>11/28/2023</t>
  </si>
  <si>
    <t>CUST011</t>
  </si>
  <si>
    <t>PROD008</t>
  </si>
  <si>
    <t>350</t>
  </si>
  <si>
    <t>ORD0019</t>
  </si>
  <si>
    <t>8/25/2023</t>
  </si>
  <si>
    <t>CUST041</t>
  </si>
  <si>
    <t>376</t>
  </si>
  <si>
    <t>ORD0020</t>
  </si>
  <si>
    <t>4/12/2023</t>
  </si>
  <si>
    <t>CUST025</t>
  </si>
  <si>
    <t>PROD001</t>
  </si>
  <si>
    <t>1626</t>
  </si>
  <si>
    <t>ORD0021</t>
  </si>
  <si>
    <t>10/2/2023</t>
  </si>
  <si>
    <t>84</t>
  </si>
  <si>
    <t>ORD0022</t>
  </si>
  <si>
    <t>11/9/2023</t>
  </si>
  <si>
    <t>230</t>
  </si>
  <si>
    <t>ORD0023</t>
  </si>
  <si>
    <t>2/14/2023</t>
  </si>
  <si>
    <t>CUST016</t>
  </si>
  <si>
    <t>174</t>
  </si>
  <si>
    <t>ORD0024</t>
  </si>
  <si>
    <t>11/5/2023</t>
  </si>
  <si>
    <t>CUST028</t>
  </si>
  <si>
    <t>480</t>
  </si>
  <si>
    <t>ORD0025</t>
  </si>
  <si>
    <t>5/28/2023</t>
  </si>
  <si>
    <t>5/30/2023</t>
  </si>
  <si>
    <t>CUST040</t>
  </si>
  <si>
    <t>PROD002</t>
  </si>
  <si>
    <t>43</t>
  </si>
  <si>
    <t>ORD0026</t>
  </si>
  <si>
    <t>10/15/2023</t>
  </si>
  <si>
    <t>10/21/2023</t>
  </si>
  <si>
    <t>PROD022</t>
  </si>
  <si>
    <t>256</t>
  </si>
  <si>
    <t>ORD0027</t>
  </si>
  <si>
    <t>1/16/2023</t>
  </si>
  <si>
    <t>CUST018</t>
  </si>
  <si>
    <t>140</t>
  </si>
  <si>
    <t>ORD0028</t>
  </si>
  <si>
    <t>10/9/2023</t>
  </si>
  <si>
    <t>291</t>
  </si>
  <si>
    <t>ORD0029</t>
  </si>
  <si>
    <t>10/7/2023</t>
  </si>
  <si>
    <t>10/10/2023</t>
  </si>
  <si>
    <t>CUST007</t>
  </si>
  <si>
    <t>111</t>
  </si>
  <si>
    <t>ORD0030</t>
  </si>
  <si>
    <t>CUST008</t>
  </si>
  <si>
    <t>345</t>
  </si>
  <si>
    <t>ORD0031</t>
  </si>
  <si>
    <t>3/26/2023</t>
  </si>
  <si>
    <t>CUST014</t>
  </si>
  <si>
    <t>210</t>
  </si>
  <si>
    <t>ORD0032</t>
  </si>
  <si>
    <t>6/15/2023</t>
  </si>
  <si>
    <t>6/22/2023</t>
  </si>
  <si>
    <t>CUST037</t>
  </si>
  <si>
    <t>PROD009</t>
  </si>
  <si>
    <t>55</t>
  </si>
  <si>
    <t>ORD0033</t>
  </si>
  <si>
    <t>5/22/2023</t>
  </si>
  <si>
    <t>5/23/2023</t>
  </si>
  <si>
    <t>54</t>
  </si>
  <si>
    <t>ORD0034</t>
  </si>
  <si>
    <t>11/20/2023</t>
  </si>
  <si>
    <t>21</t>
  </si>
  <si>
    <t>ORD0035</t>
  </si>
  <si>
    <t>12/22/2023</t>
  </si>
  <si>
    <t>12/26/2023</t>
  </si>
  <si>
    <t>CUST032</t>
  </si>
  <si>
    <t>PROD011</t>
  </si>
  <si>
    <t>172</t>
  </si>
  <si>
    <t>ORD0036</t>
  </si>
  <si>
    <t>7/23/2023</t>
  </si>
  <si>
    <t>PROD016</t>
  </si>
  <si>
    <t>636</t>
  </si>
  <si>
    <t>ORD0037</t>
  </si>
  <si>
    <t>10/17/2023</t>
  </si>
  <si>
    <t>10/22/2023</t>
  </si>
  <si>
    <t>164</t>
  </si>
  <si>
    <t>ORD0038</t>
  </si>
  <si>
    <t>8/22/2023</t>
  </si>
  <si>
    <t>8/24/2023</t>
  </si>
  <si>
    <t>PROD007</t>
  </si>
  <si>
    <t>64</t>
  </si>
  <si>
    <t>ORD0039</t>
  </si>
  <si>
    <t>12/2/2023</t>
  </si>
  <si>
    <t>CUST024</t>
  </si>
  <si>
    <t>132</t>
  </si>
  <si>
    <t>ORD0040</t>
  </si>
  <si>
    <t>12/25/2023</t>
  </si>
  <si>
    <t>CUST006</t>
  </si>
  <si>
    <t>PROD004</t>
  </si>
  <si>
    <t>248</t>
  </si>
  <si>
    <t>ORD0041</t>
  </si>
  <si>
    <t>9/23/2023</t>
  </si>
  <si>
    <t>9/30/2023</t>
  </si>
  <si>
    <t>CUST001</t>
  </si>
  <si>
    <t>692</t>
  </si>
  <si>
    <t>ORD0042</t>
  </si>
  <si>
    <t>7/16/2023</t>
  </si>
  <si>
    <t>7/18/2023</t>
  </si>
  <si>
    <t>189</t>
  </si>
  <si>
    <t>ORD0043</t>
  </si>
  <si>
    <t>2/11/2023</t>
  </si>
  <si>
    <t>108</t>
  </si>
  <si>
    <t>ORD0044</t>
  </si>
  <si>
    <t>12/18/2023</t>
  </si>
  <si>
    <t>12/23/2023</t>
  </si>
  <si>
    <t>62</t>
  </si>
  <si>
    <t>ORD0045</t>
  </si>
  <si>
    <t>6/11/2023</t>
  </si>
  <si>
    <t>6/14/2023</t>
  </si>
  <si>
    <t>685</t>
  </si>
  <si>
    <t>ORD0046</t>
  </si>
  <si>
    <t>12/4/2023</t>
  </si>
  <si>
    <t>12/8/2023</t>
  </si>
  <si>
    <t>CUST039</t>
  </si>
  <si>
    <t>292</t>
  </si>
  <si>
    <t>ORD0047</t>
  </si>
  <si>
    <t>7/17/2023</t>
  </si>
  <si>
    <t>7/19/2023</t>
  </si>
  <si>
    <t>104</t>
  </si>
  <si>
    <t>ORD0048</t>
  </si>
  <si>
    <t>10/19/2023</t>
  </si>
  <si>
    <t>10/24/2023</t>
  </si>
  <si>
    <t>97</t>
  </si>
  <si>
    <t>ORD0049</t>
  </si>
  <si>
    <t>5/15/2023</t>
  </si>
  <si>
    <t>CUST026</t>
  </si>
  <si>
    <t>365</t>
  </si>
  <si>
    <t>ORD0050</t>
  </si>
  <si>
    <t>2/12/2023</t>
  </si>
  <si>
    <t>2/19/2023</t>
  </si>
  <si>
    <t>ORD0051</t>
  </si>
  <si>
    <t>37</t>
  </si>
  <si>
    <t>ORD0052</t>
  </si>
  <si>
    <t>1/30/2023</t>
  </si>
  <si>
    <t>2/1/2023</t>
  </si>
  <si>
    <t>22</t>
  </si>
  <si>
    <t>ORD0053</t>
  </si>
  <si>
    <t>1/1/2024</t>
  </si>
  <si>
    <t>1090</t>
  </si>
  <si>
    <t>ORD0054</t>
  </si>
  <si>
    <t>3/6/2023</t>
  </si>
  <si>
    <t>3/13/2023</t>
  </si>
  <si>
    <t>ORD0055</t>
  </si>
  <si>
    <t>2/6/2023</t>
  </si>
  <si>
    <t>144</t>
  </si>
  <si>
    <t>ORD0056</t>
  </si>
  <si>
    <t>10/18/2023</t>
  </si>
  <si>
    <t>CUST017</t>
  </si>
  <si>
    <t>65</t>
  </si>
  <si>
    <t>ORD0057</t>
  </si>
  <si>
    <t>1/7/2023</t>
  </si>
  <si>
    <t>1/9/2023</t>
  </si>
  <si>
    <t>26</t>
  </si>
  <si>
    <t>ORD0058</t>
  </si>
  <si>
    <t>ORD0059</t>
  </si>
  <si>
    <t>4/2/2023</t>
  </si>
  <si>
    <t>4/5/2023</t>
  </si>
  <si>
    <t>CUST003</t>
  </si>
  <si>
    <t>780</t>
  </si>
  <si>
    <t>ORD0060</t>
  </si>
  <si>
    <t>10/12/2023</t>
  </si>
  <si>
    <t>220</t>
  </si>
  <si>
    <t>ORD0061</t>
  </si>
  <si>
    <t>9/10/2023</t>
  </si>
  <si>
    <t>CUST035</t>
  </si>
  <si>
    <t>276</t>
  </si>
  <si>
    <t>ORD0062</t>
  </si>
  <si>
    <t>11/22/2023</t>
  </si>
  <si>
    <t>11/29/2023</t>
  </si>
  <si>
    <t>CUST022</t>
  </si>
  <si>
    <t>3260</t>
  </si>
  <si>
    <t>ORD0063</t>
  </si>
  <si>
    <t>5/2/2023</t>
  </si>
  <si>
    <t>CUST004</t>
  </si>
  <si>
    <t>ORD0064</t>
  </si>
  <si>
    <t>CUST048</t>
  </si>
  <si>
    <t>695</t>
  </si>
  <si>
    <t>ORD0065</t>
  </si>
  <si>
    <t>10/20/2023</t>
  </si>
  <si>
    <t>207</t>
  </si>
  <si>
    <t>ORD0066</t>
  </si>
  <si>
    <t>5/20/2023</t>
  </si>
  <si>
    <t>5/21/2023</t>
  </si>
  <si>
    <t>42</t>
  </si>
  <si>
    <t>ORD0067</t>
  </si>
  <si>
    <t>7/28/2023</t>
  </si>
  <si>
    <t>7/30/2023</t>
  </si>
  <si>
    <t>CUST050</t>
  </si>
  <si>
    <t>124</t>
  </si>
  <si>
    <t>ORD0068</t>
  </si>
  <si>
    <t>312</t>
  </si>
  <si>
    <t>ORD0069</t>
  </si>
  <si>
    <t>7/2/2023</t>
  </si>
  <si>
    <t>7/7/2023</t>
  </si>
  <si>
    <t>116</t>
  </si>
  <si>
    <t>ORD0070</t>
  </si>
  <si>
    <t>ORD0071</t>
  </si>
  <si>
    <t>ORD0072</t>
  </si>
  <si>
    <t>3/7/2023</t>
  </si>
  <si>
    <t>ORD0073</t>
  </si>
  <si>
    <t>7/22/2023</t>
  </si>
  <si>
    <t>190</t>
  </si>
  <si>
    <t>ORD0074</t>
  </si>
  <si>
    <t>1/18/2023</t>
  </si>
  <si>
    <t>1/24/2023</t>
  </si>
  <si>
    <t>ORD0075</t>
  </si>
  <si>
    <t>5/24/2023</t>
  </si>
  <si>
    <t>ORD0076</t>
  </si>
  <si>
    <t>9/3/2023</t>
  </si>
  <si>
    <t>9/9/2023</t>
  </si>
  <si>
    <t>ORD0077</t>
  </si>
  <si>
    <t>11/4/2023</t>
  </si>
  <si>
    <t>1070</t>
  </si>
  <si>
    <t>ORD0078</t>
  </si>
  <si>
    <t>12/3/2023</t>
  </si>
  <si>
    <t>12/6/2023</t>
  </si>
  <si>
    <t>ORD0079</t>
  </si>
  <si>
    <t>46</t>
  </si>
  <si>
    <t>ORD0080</t>
  </si>
  <si>
    <t>10/16/2023</t>
  </si>
  <si>
    <t>380</t>
  </si>
  <si>
    <t>ORD0081</t>
  </si>
  <si>
    <t>348</t>
  </si>
  <si>
    <t>ORD0082</t>
  </si>
  <si>
    <t>6/18/2023</t>
  </si>
  <si>
    <t>135</t>
  </si>
  <si>
    <t>ORD0083</t>
  </si>
  <si>
    <t>10/28/2023</t>
  </si>
  <si>
    <t>10/30/2023</t>
  </si>
  <si>
    <t>ORD0084</t>
  </si>
  <si>
    <t>CUST015</t>
  </si>
  <si>
    <t>130</t>
  </si>
  <si>
    <t>ORD0085</t>
  </si>
  <si>
    <t>215</t>
  </si>
  <si>
    <t>ORD0086</t>
  </si>
  <si>
    <t>11/10/2023</t>
  </si>
  <si>
    <t>ORD0087</t>
  </si>
  <si>
    <t>CUST043</t>
  </si>
  <si>
    <t>ORD0088</t>
  </si>
  <si>
    <t>3152</t>
  </si>
  <si>
    <t>ORD0089</t>
  </si>
  <si>
    <t>7/13/2023</t>
  </si>
  <si>
    <t>1085</t>
  </si>
  <si>
    <t>ORD0090</t>
  </si>
  <si>
    <t>552</t>
  </si>
  <si>
    <t>ORD0091</t>
  </si>
  <si>
    <t>6/23/2023</t>
  </si>
  <si>
    <t>6/29/2023</t>
  </si>
  <si>
    <t>CUST031</t>
  </si>
  <si>
    <t>1606</t>
  </si>
  <si>
    <t>ORD0092</t>
  </si>
  <si>
    <t>2/21/2023</t>
  </si>
  <si>
    <t>1240</t>
  </si>
  <si>
    <t>ORD0093</t>
  </si>
  <si>
    <t>CUST036</t>
  </si>
  <si>
    <t>630</t>
  </si>
  <si>
    <t>ORD0094</t>
  </si>
  <si>
    <t>12/5/2023</t>
  </si>
  <si>
    <t>12/12/2023</t>
  </si>
  <si>
    <t>ORD0095</t>
  </si>
  <si>
    <t>6/7/2023</t>
  </si>
  <si>
    <t>6/12/2023</t>
  </si>
  <si>
    <t>ORD0096</t>
  </si>
  <si>
    <t>7/9/2023</t>
  </si>
  <si>
    <t>7/12/2023</t>
  </si>
  <si>
    <t>ORD0097</t>
  </si>
  <si>
    <t>475</t>
  </si>
  <si>
    <t>ORD0098</t>
  </si>
  <si>
    <t>9/25/2023</t>
  </si>
  <si>
    <t>430</t>
  </si>
  <si>
    <t>ORD0099</t>
  </si>
  <si>
    <t>CUST034</t>
  </si>
  <si>
    <t>ORD0100</t>
  </si>
  <si>
    <t>3/27/2023</t>
  </si>
  <si>
    <t>168</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</si>
  <si>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</si>
  <si>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</si>
  <si>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</si>
  <si>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</si>
  <si>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</si>
  <si>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</si>
  <si>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</si>
  <si>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</si>
  <si>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</si>
  <si>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</si>
  <si>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</si>
  <si>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</si>
  <si>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</si>
  <si>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</si>
  <si>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</si>
  <si>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</si>
  <si>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</si>
  <si>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</si>
  <si>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</si>
  <si>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</si>
  <si>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</si>
  <si>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</si>
  <si>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</si>
  <si>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</si>
  <si>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</si>
  <si>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</si>
  <si>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</si>
  <si>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</si>
  <si>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</si>
  <si>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</si>
  <si>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</si>
  <si>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</si>
  <si>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</si>
  <si>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</si>
  <si>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</si>
  <si>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</si>
  <si>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</si>
  <si>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</si>
  <si>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</si>
  <si>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</si>
  <si>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</si>
  <si>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</si>
  <si>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</si>
  <si>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</si>
  <si>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</si>
  <si>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</si>
  <si>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</si>
  <si>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</si>
  <si>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</si>
  <si>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</si>
  <si>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</si>
  <si>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</si>
  <si>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</si>
  <si>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</si>
  <si>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</si>
  <si>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</si>
  <si>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</si>
  <si>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</si>
  <si>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</si>
  <si>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</si>
  <si>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</si>
  <si>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</si>
  <si>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</si>
  <si>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</si>
  <si>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</si>
  <si>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</si>
  <si>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</si>
  <si>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</si>
  <si>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</si>
  <si>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</si>
  <si>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</si>
  <si>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</si>
  <si>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</si>
  <si>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</si>
  <si>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</si>
  <si>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</si>
  <si>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</si>
  <si>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</si>
  <si>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</si>
  <si>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</si>
  <si>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</si>
  <si>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</si>
  <si>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</si>
  <si>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</si>
  <si>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</si>
  <si>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</si>
  <si>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</si>
  <si>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</si>
  <si>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</si>
  <si>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</si>
  <si>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</si>
  <si>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</si>
  <si>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</si>
  <si>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</si>
  <si>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</si>
  <si>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</si>
  <si>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</si>
  <si>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</si>
  <si>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</si>
  <si>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</si>
  <si>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</si>
  <si>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</si>
  <si>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</si>
  <si>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</si>
  <si>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</si>
  <si>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</si>
  <si>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</si>
  <si>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</si>
  <si>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</si>
  <si>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</si>
  <si>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</si>
  <si>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</si>
  <si>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</si>
  <si>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</si>
  <si>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</si>
  <si>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</si>
  <si>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Order Status</t>
  </si>
  <si>
    <t>Row Labels</t>
  </si>
  <si>
    <t>Grand Total</t>
  </si>
  <si>
    <t>Sales Amount</t>
  </si>
  <si>
    <t>Product Category</t>
  </si>
  <si>
    <t>Delivery Days</t>
  </si>
  <si>
    <t>Delivery Performance</t>
  </si>
  <si>
    <t>Effective Sales</t>
  </si>
  <si>
    <t>Count of Order Status</t>
  </si>
  <si>
    <t>Average of Delivery Days</t>
  </si>
  <si>
    <t>(All)</t>
  </si>
  <si>
    <t>Sum of Effective Sales</t>
  </si>
  <si>
    <t>Month</t>
  </si>
  <si>
    <t>Apr</t>
  </si>
  <si>
    <t>Aug</t>
  </si>
  <si>
    <t>Dec</t>
  </si>
  <si>
    <t>Feb</t>
  </si>
  <si>
    <t>Jan</t>
  </si>
  <si>
    <t>Jul</t>
  </si>
  <si>
    <t>Jun</t>
  </si>
  <si>
    <t>Mar</t>
  </si>
  <si>
    <t>May</t>
  </si>
  <si>
    <t>Nov</t>
  </si>
  <si>
    <t>Oct</t>
  </si>
  <si>
    <t>Sep</t>
  </si>
  <si>
    <t>Column Labels</t>
  </si>
  <si>
    <t>Sum of Sales Amount</t>
  </si>
  <si>
    <t>Count of Delivery Status</t>
  </si>
  <si>
    <t>Active</t>
  </si>
  <si>
    <t>Cancellation Rate</t>
  </si>
  <si>
    <t>1. Most Successful Product Category :-</t>
  </si>
  <si>
    <r>
      <t xml:space="preserve">Overall, Electronics generated </t>
    </r>
    <r>
      <rPr>
        <b/>
        <sz val="11"/>
        <color theme="1"/>
        <rFont val="Calibri"/>
        <family val="2"/>
        <scheme val="minor"/>
      </rPr>
      <t>₹6126</t>
    </r>
    <r>
      <rPr>
        <sz val="11"/>
        <color theme="1"/>
        <rFont val="Calibri"/>
        <family val="2"/>
        <scheme val="minor"/>
      </rPr>
      <t xml:space="preserve">, which is the largest share of the total effective sales of </t>
    </r>
    <r>
      <rPr>
        <b/>
        <sz val="11"/>
        <color theme="1"/>
        <rFont val="Calibri"/>
        <family val="2"/>
        <scheme val="minor"/>
      </rPr>
      <t>₹13,656</t>
    </r>
    <r>
      <rPr>
        <sz val="11"/>
        <color theme="1"/>
        <rFont val="Calibri"/>
        <family val="2"/>
        <scheme val="minor"/>
      </rPr>
      <t>.</t>
    </r>
  </si>
  <si>
    <t>2. Region with Highest Cancellation Rate :-</t>
  </si>
  <si>
    <r>
      <t xml:space="preserve">The </t>
    </r>
    <r>
      <rPr>
        <b/>
        <sz val="11"/>
        <color theme="1"/>
        <rFont val="Calibri"/>
        <family val="2"/>
        <scheme val="minor"/>
      </rPr>
      <t>North region</t>
    </r>
    <r>
      <rPr>
        <sz val="11"/>
        <color theme="1"/>
        <rFont val="Calibri"/>
        <family val="2"/>
        <scheme val="minor"/>
      </rPr>
      <t xml:space="preserve"> has the highest cancellation rate.</t>
    </r>
  </si>
  <si>
    <t>3. Orders Delivered Within 2 Days :-</t>
  </si>
  <si>
    <t>4. How XLOOKUP Simplifies Cross-Sheet Analysis :-</t>
  </si>
  <si>
    <r>
      <t>XLOOKUP</t>
    </r>
    <r>
      <rPr>
        <sz val="11"/>
        <color theme="1"/>
        <rFont val="Calibri"/>
        <family val="2"/>
        <scheme val="minor"/>
      </rPr>
      <t xml:space="preserve"> allows seamless retrieval of data across sheets without complex nested formulas.</t>
    </r>
  </si>
  <si>
    <r>
      <t xml:space="preserve">Example: Linking </t>
    </r>
    <r>
      <rPr>
        <b/>
        <sz val="11"/>
        <color theme="1"/>
        <rFont val="Calibri"/>
        <family val="2"/>
        <scheme val="minor"/>
      </rPr>
      <t>ProductMaster</t>
    </r>
    <r>
      <rPr>
        <sz val="11"/>
        <color theme="1"/>
        <rFont val="Calibri"/>
        <family val="2"/>
        <scheme val="minor"/>
      </rPr>
      <t xml:space="preserve"> with </t>
    </r>
    <r>
      <rPr>
        <b/>
        <sz val="11"/>
        <color theme="1"/>
        <rFont val="Calibri"/>
        <family val="2"/>
        <scheme val="minor"/>
      </rPr>
      <t>AmazonSales</t>
    </r>
    <r>
      <rPr>
        <sz val="11"/>
        <color theme="1"/>
        <rFont val="Calibri"/>
        <family val="2"/>
        <scheme val="minor"/>
      </rPr>
      <t xml:space="preserve"> to fetch product descriptions or cost prices directly.</t>
    </r>
  </si>
  <si>
    <t>It replaces older functions like VLOOKUP/HLOOKUP by handling both vertical and horizontal lookups, supporting exact matches, and reducing errors.</t>
  </si>
  <si>
    <t>This makes KPI calculations (like revenue by product category) faster and more reliable.</t>
  </si>
  <si>
    <t>5. Recommendations to Improve Delivery Performance</t>
  </si>
  <si>
    <t>Based on the analysis, the following recommendations can improve delivery performance:</t>
  </si>
  <si>
    <t>1. Improve Logistics in High Cancellation Regions</t>
  </si>
  <si>
    <r>
      <t xml:space="preserve">Since the </t>
    </r>
    <r>
      <rPr>
        <b/>
        <sz val="11"/>
        <color theme="1"/>
        <rFont val="Calibri"/>
        <family val="2"/>
        <scheme val="minor"/>
      </rPr>
      <t>North region has the highest cancellation rate</t>
    </r>
    <r>
      <rPr>
        <sz val="11"/>
        <color theme="1"/>
        <rFont val="Calibri"/>
        <family val="2"/>
        <scheme val="minor"/>
      </rPr>
      <t>, the company should investigate logistics issues and improve delivery operations in that region.</t>
    </r>
  </si>
  <si>
    <t>2. Optimize Fulfillment Partner Performance</t>
  </si>
  <si>
    <t>Some delivery partners may contribute to delays. Monitoring and optimizing partner performance can improve overall delivery speed.</t>
  </si>
  <si>
    <t>3. Increase Fast Delivery Capability</t>
  </si>
  <si>
    <r>
      <t xml:space="preserve">Only </t>
    </r>
    <r>
      <rPr>
        <b/>
        <sz val="11"/>
        <color theme="1"/>
        <rFont val="Calibri"/>
        <family val="2"/>
        <scheme val="minor"/>
      </rPr>
      <t>11 orders were delivered within 2 days</t>
    </r>
    <r>
      <rPr>
        <sz val="11"/>
        <color theme="1"/>
        <rFont val="Calibri"/>
        <family val="2"/>
        <scheme val="minor"/>
      </rPr>
      <t>, indicating the need to improve warehouse processing and shipping efficiency.</t>
    </r>
  </si>
  <si>
    <t>4. Improve Inventory Management</t>
  </si>
  <si>
    <t>Better stock planning ensures that products are available for quick dispatch, reducing delivery delays.</t>
  </si>
  <si>
    <t>5. Implement Real-Time Tracking</t>
  </si>
  <si>
    <t>Providing customers with real-time tracking updates can reduce cancellations caused by uncertainty about delivery times.</t>
  </si>
  <si>
    <r>
      <rPr>
        <b/>
        <sz val="11"/>
        <color theme="1"/>
        <rFont val="Calibri"/>
        <family val="2"/>
        <scheme val="minor"/>
      </rPr>
      <t>Electronics</t>
    </r>
    <r>
      <rPr>
        <sz val="11"/>
        <color theme="1"/>
        <rFont val="Calibri"/>
        <family val="2"/>
        <scheme val="minor"/>
      </rPr>
      <t xml:space="preserve"> is the top-performing category in terms of revenue.</t>
    </r>
  </si>
  <si>
    <r>
      <t xml:space="preserve">The North region has the highest cancellation rate </t>
    </r>
    <r>
      <rPr>
        <b/>
        <sz val="11"/>
        <color theme="1"/>
        <rFont val="Calibri"/>
        <family val="2"/>
        <scheme val="minor"/>
      </rPr>
      <t>(40%)</t>
    </r>
    <r>
      <rPr>
        <sz val="11"/>
        <color theme="1"/>
        <rFont val="Calibri"/>
        <family val="2"/>
        <scheme val="minor"/>
      </rPr>
      <t>, which suggests potential issues related to delivery delays, logistics management, or customer service in that region.</t>
    </r>
  </si>
  <si>
    <r>
      <t xml:space="preserve">Orders where the delivery time was </t>
    </r>
    <r>
      <rPr>
        <b/>
        <sz val="11"/>
        <color theme="1"/>
        <rFont val="Calibri"/>
        <family val="2"/>
        <scheme val="minor"/>
      </rPr>
      <t>2 days or less</t>
    </r>
    <r>
      <rPr>
        <sz val="11"/>
        <color theme="1"/>
        <rFont val="Calibri"/>
        <family val="2"/>
        <scheme val="minor"/>
      </rPr>
      <t xml:space="preserve"> were counted.</t>
    </r>
  </si>
  <si>
    <t>This indicates that only a limited number of orders were delivered quickly, which shows there is room to improve delivery efficiency.</t>
  </si>
  <si>
    <r>
      <t>Total Orders Delivered Within</t>
    </r>
    <r>
      <rPr>
        <b/>
        <sz val="11"/>
        <color theme="1"/>
        <rFont val="Calibri"/>
        <family val="2"/>
        <scheme val="minor"/>
      </rPr>
      <t xml:space="preserve"> 2 Days: 11</t>
    </r>
  </si>
  <si>
    <t>This indicates that Electronics is the most successful product in the dataset and contributes the largest share of sales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</si>
</sst>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theme="1"/>
      <name val="Calibri"/>
      <family val="2"/>
    </font>
    <font>
      <sz val="11"/>
      <color theme="0"/>
      <name val="Calibri"/>
      <family val="2"/>
      <scheme val="minor"/>
    </font>
    <font>
      <b/>
      <sz val="11"/>
      <color theme="1"/>
      <name val="Calibri"/>
      <family val="2"/>
      <scheme val="minor"/>
    </font>
    <font>
      <b/>
      <sz val="11"/>
      <color theme="4"/>
      <name val="Calibri"/>
      <family val="2"/>
      <scheme val="minor"/>
    </font>
    <font>
      <b/>
      <sz val="18"/>
      <color theme="1"/>
      <name val="Calibri"/>
      <family val="2"/>
      <scheme val="minor"/>
    </font>
    <font>
      <sz val="18"/>
      <color theme="1"/>
      <name val="Calibri"/>
      <family val="2"/>
      <scheme val="minor"/>
    </font>
    <font>
      <b/>
      <sz val="28"/>
      <color rgb="FF00B050"/>
      <name val="Calibri"/>
      <family val="2"/>
      <scheme val="minor"/>
    </font>
    <font>
      <b/>
      <sz val="14"/>
      <color theme="1"/>
      <name val="Calibri"/>
      <family val="2"/>
      <scheme val="minor"/>
    </font>
  </fonts>
  <fills count="7">
    <fill>
      <patternFill patternType="none"/>
    </fill>
    <fill>
      <patternFill patternType="gray125"/>
    </fill>
    <fill>
      <patternFill patternType="solid">
        <fgColor theme="8" tint="0.59999389629810485"/>
        <bgColor indexed="64"/>
      </patternFill>
    </fill>
    <fill>
      <patternFill patternType="solid">
        <fgColor theme="0" tint="-4.9989318521683403E-2"/>
        <bgColor indexed="64"/>
      </patternFill>
    </fill>
    <fill>
      <patternFill patternType="solid">
        <fgColor theme="2" tint="-0.89999084444715716"/>
        <bgColor indexed="64"/>
      </patternFill>
    </fill>
    <fill>
      <patternFill patternType="solid">
        <fgColor theme="5" tint="-0.249977111117893"/>
        <bgColor indexed="64"/>
      </patternFill>
    </fill>
    <fill>
      <patternFill patternType="solid">
        <fgColor theme="2" tint="-9.9978637043366805E-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4" fontId="4" fillId="0" borderId="0" applyFont="0" applyFill="0" applyBorder="0" applyAlignment="0" applyProtection="0"/>
  </cellStyleXfs>
  <cellXfs count="54">
    <xf numFmtId="0" fontId="0" fillId="0" borderId="0" xfId="0"/>
    <xf numFmtId="0" fontId="3" fillId="0" borderId="1" xfId="1" applyFont="1" applyBorder="1" applyAlignment="1">
      <alignment horizontal="left" vertical="center"/>
    </xf>
    <xf numFmtId="0" fontId="3" fillId="0" borderId="1" xfId="1" applyFont="1" applyBorder="1" applyAlignment="1">
      <alignment horizontal="right" vertical="center"/>
    </xf>
    <xf numFmtId="3" fontId="3" fillId="0" borderId="1" xfId="1" applyNumberFormat="1" applyFont="1" applyBorder="1"/>
    <xf numFmtId="14" fontId="3" fillId="0" borderId="1" xfId="1" applyNumberFormat="1" applyFont="1" applyBorder="1"/>
    <xf numFmtId="14" fontId="0" fillId="0" borderId="0" xfId="0" applyNumberFormat="1"/>
    <xf numFmtId="49" fontId="3" fillId="0" borderId="1" xfId="1" applyNumberFormat="1" applyFont="1" applyBorder="1"/>
    <xf numFmtId="49" fontId="1" fillId="0" borderId="1" xfId="1" applyNumberFormat="1" applyBorder="1"/>
    <xf numFmtId="0" fontId="2" fillId="2" borderId="1" xfId="1" applyFont="1" applyFill="1" applyBorder="1" applyAlignment="1">
      <alignment horizontal="left" vertical="center"/>
    </xf>
    <xf numFmtId="0" fontId="2" fillId="2" borderId="1" xfId="1" applyFont="1" applyFill="1" applyBorder="1" applyAlignment="1">
      <alignment horizontal="right" vertical="center"/>
    </xf>
    <xf numFmtId="14" fontId="2" fillId="2" borderId="1" xfId="1" applyNumberFormat="1" applyFont="1" applyFill="1" applyBorder="1" applyAlignment="1">
      <alignment horizontal="center" vertical="top"/>
    </xf>
    <xf numFmtId="43" fontId="2" fillId="2" borderId="1" xfId="1" applyNumberFormat="1" applyFont="1" applyFill="1" applyBorder="1" applyAlignment="1">
      <alignment horizontal="right" vertical="center"/>
    </xf>
    <xf numFmtId="43" fontId="0" fillId="0" borderId="1" xfId="2" applyNumberFormat="1" applyFont="1" applyBorder="1"/>
    <xf numFmtId="43" fontId="0" fillId="0" borderId="0" xfId="0" applyNumberFormat="1"/>
    <xf numFmtId="0" fontId="0" fillId="0" borderId="0" xfId="0" pivotButton="1"/>
    <xf numFmtId="0" fontId="0" fillId="0" borderId="0" xfId="0" applyAlignment="1">
      <alignment horizontal="left"/>
    </xf>
    <xf numFmtId="0" fontId="3" fillId="0" borderId="0" xfId="1" applyFont="1" applyAlignment="1">
      <alignment horizontal="left" vertical="center"/>
    </xf>
    <xf numFmtId="0" fontId="5" fillId="2" borderId="1" xfId="1" applyFont="1" applyFill="1" applyBorder="1" applyAlignment="1">
      <alignment horizontal="left" vertical="center"/>
    </xf>
    <xf numFmtId="164" fontId="0" fillId="0" borderId="0" xfId="0" applyNumberFormat="1"/>
    <xf numFmtId="0" fontId="0" fillId="3" borderId="0" xfId="0" applyFill="1"/>
    <xf numFmtId="0" fontId="0" fillId="0" borderId="0" xfId="0" applyAlignment="1">
      <alignment horizontal="left" indent="1"/>
    </xf>
    <xf numFmtId="0" fontId="0" fillId="4" borderId="0" xfId="0" applyFill="1"/>
    <xf numFmtId="0" fontId="0" fillId="0" borderId="2" xfId="0" applyBorder="1"/>
    <xf numFmtId="10" fontId="0" fillId="0" borderId="2"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0" fontId="0" fillId="0" borderId="7" xfId="0" pivotButton="1" applyBorder="1"/>
    <xf numFmtId="0" fontId="0" fillId="0" borderId="7" xfId="0" applyBorder="1"/>
    <xf numFmtId="0" fontId="0" fillId="0" borderId="7" xfId="0" applyBorder="1" applyAlignment="1">
      <alignment horizontal="left"/>
    </xf>
    <xf numFmtId="0" fontId="0" fillId="0" borderId="5" xfId="0" applyBorder="1"/>
    <xf numFmtId="0" fontId="0" fillId="0" borderId="5" xfId="0" applyBorder="1" applyAlignment="1">
      <alignment horizontal="left"/>
    </xf>
    <xf numFmtId="0" fontId="0" fillId="0" borderId="4" xfId="0" applyBorder="1"/>
    <xf numFmtId="0" fontId="0" fillId="0" borderId="6" xfId="0" applyBorder="1"/>
    <xf numFmtId="0" fontId="0" fillId="0" borderId="3"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3" xfId="0" applyBorder="1"/>
    <xf numFmtId="0" fontId="0" fillId="0" borderId="8" xfId="0" applyBorder="1"/>
    <xf numFmtId="0" fontId="0" fillId="0" borderId="9" xfId="0" applyBorder="1"/>
    <xf numFmtId="0" fontId="6" fillId="5" borderId="9" xfId="0" applyFont="1" applyFill="1" applyBorder="1"/>
    <xf numFmtId="0" fontId="0" fillId="5" borderId="10" xfId="0" applyFill="1" applyBorder="1"/>
    <xf numFmtId="0" fontId="0" fillId="3" borderId="0" xfId="0" applyFill="1" applyAlignment="1">
      <alignment vertical="center"/>
    </xf>
    <xf numFmtId="0" fontId="8" fillId="3" borderId="0" xfId="0" applyFont="1" applyFill="1" applyAlignment="1">
      <alignment vertical="center"/>
    </xf>
    <xf numFmtId="0" fontId="9" fillId="3" borderId="0" xfId="0" applyFont="1" applyFill="1" applyAlignment="1">
      <alignment vertical="center"/>
    </xf>
    <xf numFmtId="0" fontId="10" fillId="3" borderId="0" xfId="0" applyFont="1" applyFill="1" applyAlignment="1">
      <alignment vertical="center"/>
    </xf>
    <xf numFmtId="0" fontId="12" fillId="3" borderId="0" xfId="0" applyFont="1" applyFill="1" applyAlignment="1">
      <alignment vertical="center"/>
    </xf>
    <xf numFmtId="0" fontId="2" fillId="6" borderId="1" xfId="1" applyFont="1" applyFill="1" applyBorder="1" applyAlignment="1">
      <alignment horizontal="left" vertical="center"/>
    </xf>
    <xf numFmtId="49" fontId="2" fillId="6" borderId="1" xfId="1" applyNumberFormat="1" applyFont="1" applyFill="1" applyBorder="1" applyAlignment="1">
      <alignment horizontal="center" vertical="top"/>
    </xf>
    <xf numFmtId="0" fontId="2" fillId="6" borderId="1" xfId="1" applyFont="1" applyFill="1" applyBorder="1" applyAlignment="1">
      <alignment horizontal="right" vertical="center"/>
    </xf>
    <xf numFmtId="49" fontId="2" fillId="6" borderId="1" xfId="1" applyNumberFormat="1" applyFont="1" applyFill="1" applyBorder="1" applyAlignment="1">
      <alignment horizontal="right" vertical="center"/>
    </xf>
    <xf numFmtId="0" fontId="0" fillId="0" borderId="0" xfId="0"/>
    <xf numFmtId="0" fontId="11" fillId="3" borderId="0" xfId="0" applyFont="1" applyFill="1" applyAlignment="1">
      <alignment horizontal="left" vertical="top"/>
    </xf>
    <xf numFmtId="0" fontId="0" fillId="0" borderId="0" xfId="0" applyNumberFormat="1"/>
  </cellXfs>
  <cellStyles count="3">
    <cellStyle name="Currency" xfId="2" builtinId="4"/>
    <cellStyle name="Normal" xfId="0" builtinId="0"/>
    <cellStyle name="Normal 2" xfId="1" xr:uid="{52701B51-1CC6-4F38-AA18-93E7E1943F81}"/>
  </cellStyles>
  <dxfs count="30">
    <dxf>
      <fill>
        <patternFill>
          <bgColor rgb="FFFF7C80"/>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border>
    </dxf>
    <dxf>
      <border>
        <right style="thin">
          <color indexed="64"/>
        </right>
        <vertical style="thin">
          <color indexed="64"/>
        </vertical>
        <horizontal style="thin">
          <color indexed="64"/>
        </horizontal>
      </border>
    </dxf>
    <dxf>
      <border>
        <right style="thin">
          <color indexed="64"/>
        </right>
      </border>
    </dxf>
    <dxf>
      <border>
        <right style="thin">
          <color indexed="64"/>
        </right>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numFmt numFmtId="164" formatCode="0.0"/>
    </dxf>
    <dxf>
      <fill>
        <patternFill>
          <bgColor theme="1" tint="0.499984740745262"/>
        </patternFill>
      </fill>
    </dxf>
    <dxf>
      <font>
        <b/>
        <sz val="11"/>
        <color theme="1"/>
      </font>
      <border>
        <vertical/>
        <horizontal/>
      </border>
    </dxf>
    <dxf>
      <font>
        <color theme="1"/>
      </font>
      <fill>
        <patternFill>
          <bgColor theme="0" tint="-0.14996795556505021"/>
        </patternFill>
      </fill>
      <border diagonalUp="0" diagonalDown="0">
        <left/>
        <right/>
        <top/>
        <bottom/>
        <vertical/>
        <horizontal/>
      </border>
    </dxf>
    <dxf>
      <font>
        <b/>
        <color theme="1"/>
      </font>
      <border>
        <bottom style="thin">
          <color theme="4"/>
        </bottom>
        <vertical/>
        <horizontal/>
      </border>
    </dxf>
    <dxf>
      <font>
        <sz val="8"/>
        <color theme="1"/>
      </font>
      <fill>
        <patternFill>
          <bgColor theme="0" tint="-0.14996795556505021"/>
        </patternFill>
      </fill>
      <border diagonalUp="0" diagonalDown="0">
        <left/>
        <right/>
        <top/>
        <bottom/>
        <vertical/>
        <horizontal/>
      </border>
    </dxf>
    <dxf>
      <fill>
        <patternFill>
          <bgColor theme="0"/>
        </patternFill>
      </fill>
    </dxf>
    <dxf>
      <fill>
        <patternFill>
          <bgColor theme="1" tint="4.9989318521683403E-2"/>
        </patternFill>
      </fill>
    </dxf>
    <dxf>
      <fill>
        <patternFill>
          <bgColor theme="1" tint="0.499984740745262"/>
        </patternFill>
      </fill>
    </dxf>
    <dxf>
      <fill>
        <patternFill>
          <bgColor theme="0"/>
        </patternFill>
      </fill>
    </dxf>
    <dxf>
      <fill>
        <patternFill>
          <bgColor theme="0"/>
        </patternFill>
      </fill>
    </dxf>
  </dxfs>
  <tableStyles count="11" defaultTableStyle="TableStyleMedium2" defaultPivotStyle="PivotStyleLight16">
    <tableStyle name="Slicer Style 1" pivot="0" table="0" count="3" xr9:uid="{67CD3B25-D6E8-401A-A820-7A4EE1D70E67}">
      <tableStyleElement type="wholeTable" dxfId="29"/>
    </tableStyle>
    <tableStyle name="Slicer Style 10" pivot="0" table="0" count="3" xr9:uid="{9D5B1709-732D-4F8D-9858-8FE5DD00E76A}">
      <tableStyleElement type="wholeTable" dxfId="28"/>
    </tableStyle>
    <tableStyle name="Slicer Style 2" pivot="0" table="0" count="3" xr9:uid="{27CD21F0-FC7D-414B-A921-43CBE8261EEE}">
      <tableStyleElement type="wholeTable" dxfId="27"/>
    </tableStyle>
    <tableStyle name="Slicer Style 4" pivot="0" table="0" count="3" xr9:uid="{281FB860-6997-40DE-9D02-30D7D510662B}">
      <tableStyleElement type="wholeTable" dxfId="26"/>
    </tableStyle>
    <tableStyle name="Slicer Style 5" pivot="0" table="0" count="3" xr9:uid="{28FF8A69-AB7A-4613-BBA1-33A4EA7EE3A8}">
      <tableStyleElement type="wholeTable" dxfId="25"/>
    </tableStyle>
    <tableStyle name="Slicer Style 6" pivot="0" table="0" count="0" xr9:uid="{858C4F02-99B1-4361-9FA4-B0465E959F8F}"/>
    <tableStyle name="Slicer Style 8" pivot="0" table="0" count="2" xr9:uid="{75396CBD-BD5D-4B29-9799-03CC5DBD0E7E}"/>
    <tableStyle name="Invisible" pivot="0" table="0" count="0" xr9:uid="{023D6131-379E-42E8-859C-54E5C63D142B}"/>
    <tableStyle name="My SlicerStyleDark1 2" pivot="0" table="0" count="2" xr9:uid="{54672E01-822A-4B52-8DFF-2F8273061F6E}">
      <tableStyleElement type="wholeTable" dxfId="24"/>
      <tableStyleElement type="headerRow" dxfId="23"/>
    </tableStyle>
    <tableStyle name="My TimeSlicerStyleDark1 2" pivot="0" table="0" count="2" xr9:uid="{AB3D7441-713B-41AB-9692-B13834BCABA8}">
      <tableStyleElement type="wholeTable" dxfId="22"/>
      <tableStyleElement type="headerRow" dxfId="21"/>
    </tableStyle>
    <tableStyle name="Slicer Style 3" pivot="0" table="0" count="3" xr9:uid="{16856CED-6F2B-415B-807F-CBE66B72C618}">
      <tableStyleElement type="wholeTable" dxfId="20"/>
    </tableStyle>
  </tableStyles>
  <colors>
    <mruColors>
      <color rgb="FF7290AC"/>
      <color rgb="FF3FDFCC"/>
      <color rgb="FFFF7C80"/>
      <color rgb="FFFF9933"/>
      <color rgb="FFE0AD98"/>
    </mruColors>
  </colors>
  <extLst>
    <ext xmlns:x14="http://schemas.microsoft.com/office/spreadsheetml/2009/9/main" uri="{46F421CA-312F-682f-3DD2-61675219B42D}">
      <x14:dxfs count="14">
        <dxf>
          <fill>
            <patternFill>
              <bgColor theme="4" tint="0.39994506668294322"/>
            </patternFill>
          </fill>
        </dxf>
        <dxf>
          <fill>
            <patternFill>
              <bgColor theme="7" tint="0.79998168889431442"/>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5" tint="0.59996337778862885"/>
            </patternFill>
          </fill>
        </dxf>
        <dxf>
          <fill>
            <patternFill>
              <bgColor theme="9" tint="0.39994506668294322"/>
            </patternFill>
          </fill>
        </dxf>
        <dxf>
          <fill>
            <patternFill>
              <bgColor theme="7" tint="0.39994506668294322"/>
            </patternFill>
          </fill>
        </dxf>
        <dxf>
          <fill>
            <patternFill>
              <bgColor theme="9" tint="0.79998168889431442"/>
            </patternFill>
          </fill>
        </dxf>
        <dxf>
          <fill>
            <patternFill>
              <bgColor theme="7" tint="0.79998168889431442"/>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3"/>
            <x14:slicerStyleElement type="selectedItemWithData" dxfId="12"/>
          </x14:slicerStyleElements>
        </x14:slicerStyle>
        <x14:slicerStyle name="Slicer Style 10">
          <x14:slicerStyleElements>
            <x14:slicerStyleElement type="unselectedItemWithData" dxfId="11"/>
            <x14:slicerStyleElement type="selectedItemWithData" dxfId="10"/>
          </x14:slicerStyleElements>
        </x14:slicerStyle>
        <x14:slicerStyle name="Slicer Style 2">
          <x14:slicerStyleElements>
            <x14:slicerStyleElement type="unselectedItemWithData" dxfId="9"/>
            <x14:slicerStyleElement type="selectedItemWithData" dxfId="8"/>
          </x14:slicerStyleElements>
        </x14:slicerStyle>
        <x14:slicerStyle name="Slicer Style 4">
          <x14:slicerStyleElements>
            <x14:slicerStyleElement type="unselectedItemWithData" dxfId="7"/>
            <x14:slicerStyleElement type="selectedItemWithData" dxfId="6"/>
          </x14:slicerStyleElements>
        </x14:slicerStyle>
        <x14:slicerStyle name="Slicer Style 5">
          <x14:slicerStyleElements>
            <x14:slicerStyleElement type="unselectedItemWithData" dxfId="5"/>
            <x14:slicerStyleElement type="selectedItemWithData" dxfId="4"/>
          </x14:slicerStyleElements>
        </x14:slicerStyle>
        <x14:slicerStyle name="Slicer Style 6"/>
        <x14:slicerStyle name="Slicer Style 8">
          <x14:slicerStyleElements>
            <x14:slicerStyleElement type="unselectedItemWithData" dxfId="3"/>
            <x14:slicerStyleElement type="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3.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Project.xlsx]Sheet2!PivotTable6</c:name>
    <c:fmtId val="7"/>
  </c:pivotSource>
  <c:chart>
    <c:title>
      <c:tx>
        <c:rich>
          <a:bodyPr rot="0" spcFirstLastPara="1" vertOverflow="ellipsis" vert="horz" wrap="square" anchor="ctr" anchorCtr="1"/>
          <a:lstStyle/>
          <a:p>
            <a:pPr algn="ctr" rtl="0">
              <a:defRPr lang="en-US" sz="1800" b="1" i="0" u="none" strike="noStrike" kern="1200" baseline="0">
                <a:solidFill>
                  <a:srgbClr val="FF0000"/>
                </a:solidFill>
                <a:latin typeface="+mn-lt"/>
                <a:ea typeface="+mn-ea"/>
                <a:cs typeface="+mn-cs"/>
              </a:defRPr>
            </a:pPr>
            <a:r>
              <a:rPr lang="en-US" sz="1800" b="1" i="0" u="none" strike="noStrike" kern="1200" baseline="0">
                <a:solidFill>
                  <a:srgbClr val="FF0000"/>
                </a:solidFill>
                <a:latin typeface="+mn-lt"/>
                <a:ea typeface="+mn-ea"/>
                <a:cs typeface="+mn-cs"/>
              </a:rPr>
              <a:t>Order Status</a:t>
            </a:r>
          </a:p>
          <a:p>
            <a:pPr algn="ctr" rtl="0">
              <a:defRPr lang="en-US">
                <a:solidFill>
                  <a:srgbClr val="FF0000"/>
                </a:solidFill>
              </a:defRPr>
            </a:pPr>
            <a:endParaRPr lang="en-US" sz="1800" b="1" i="0" u="none" strike="noStrike" kern="1200" baseline="0">
              <a:solidFill>
                <a:srgbClr val="FF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800" b="1" i="0" u="none" strike="noStrike" kern="1200"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6">
              <a:lumMod val="60000"/>
              <a:lumOff val="40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Sheet2!$C$4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854-47F2-9479-023AD30BD9D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854-47F2-9479-023AD30BD9D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854-47F2-9479-023AD30BD9D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Sheet2!$B$5:$B$6</c:f>
              <c:strCache>
                <c:ptCount val="2"/>
                <c:pt idx="0">
                  <c:v>Cancelled</c:v>
                </c:pt>
                <c:pt idx="1">
                  <c:v>Delivered</c:v>
                </c:pt>
              </c:strCache>
            </c:strRef>
          </c:cat>
          <c:val>
            <c:numRef>
              <c:f>Sheet2!$C$5:$C$6</c:f>
              <c:numCache>
                <c:formatCode>General</c:formatCode>
                <c:ptCount val="2"/>
                <c:pt idx="0">
                  <c:v>30</c:v>
                </c:pt>
                <c:pt idx="1">
                  <c:v>34</c:v>
                </c:pt>
              </c:numCache>
            </c:numRef>
          </c:val>
          <c:extLst>
            <c:ext xmlns:c16="http://schemas.microsoft.com/office/drawing/2014/chart" uri="{C3380CC4-5D6E-409C-BE32-E72D297353CC}">
              <c16:uniqueId val="{00000006-C854-47F2-9479-023AD30BD9D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Project.xlsx]Sheet2!PivotTable3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FF0000"/>
                </a:solidFill>
                <a:latin typeface="+mn-lt"/>
                <a:ea typeface="+mn-ea"/>
                <a:cs typeface="+mn-cs"/>
              </a:defRPr>
            </a:pPr>
            <a:r>
              <a:rPr lang="en-US" sz="1800" b="1" i="0" u="none" strike="noStrike" kern="1200" baseline="0">
                <a:solidFill>
                  <a:srgbClr val="FF0000"/>
                </a:solidFill>
              </a:rPr>
              <a:t>Sales by Product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FF0000"/>
                </a:solidFill>
              </a:defRPr>
            </a:pPr>
            <a:endParaRPr lang="en-US">
              <a:solidFill>
                <a:srgbClr val="FF00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Sheet2!$I$4</c:f>
              <c:strCache>
                <c:ptCount val="1"/>
                <c:pt idx="0">
                  <c:v>Total</c:v>
                </c:pt>
              </c:strCache>
            </c:strRef>
          </c:tx>
          <c:spPr>
            <a:solidFill>
              <a:schemeClr val="accent2"/>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Sheet2!$H$5:$H$9</c:f>
              <c:strCache>
                <c:ptCount val="5"/>
                <c:pt idx="0">
                  <c:v>Books</c:v>
                </c:pt>
                <c:pt idx="1">
                  <c:v>Electronics</c:v>
                </c:pt>
                <c:pt idx="2">
                  <c:v>Fashion</c:v>
                </c:pt>
                <c:pt idx="3">
                  <c:v>Home</c:v>
                </c:pt>
                <c:pt idx="4">
                  <c:v>Toys</c:v>
                </c:pt>
              </c:strCache>
            </c:strRef>
          </c:cat>
          <c:val>
            <c:numRef>
              <c:f>Sheet2!$I$5:$I$9</c:f>
              <c:numCache>
                <c:formatCode>General</c:formatCode>
                <c:ptCount val="5"/>
                <c:pt idx="0">
                  <c:v>127</c:v>
                </c:pt>
                <c:pt idx="1">
                  <c:v>6126</c:v>
                </c:pt>
                <c:pt idx="2">
                  <c:v>1376</c:v>
                </c:pt>
                <c:pt idx="3">
                  <c:v>4203</c:v>
                </c:pt>
                <c:pt idx="4">
                  <c:v>1824</c:v>
                </c:pt>
              </c:numCache>
            </c:numRef>
          </c:val>
          <c:extLst>
            <c:ext xmlns:c16="http://schemas.microsoft.com/office/drawing/2014/chart" uri="{C3380CC4-5D6E-409C-BE32-E72D297353CC}">
              <c16:uniqueId val="{00000000-C87F-45FB-89A3-097CDD3A4273}"/>
            </c:ext>
          </c:extLst>
        </c:ser>
        <c:dLbls>
          <c:showLegendKey val="0"/>
          <c:showVal val="1"/>
          <c:showCatName val="0"/>
          <c:showSerName val="0"/>
          <c:showPercent val="0"/>
          <c:showBubbleSize val="0"/>
        </c:dLbls>
        <c:gapWidth val="65"/>
        <c:shape val="box"/>
        <c:axId val="1695652272"/>
        <c:axId val="1695654672"/>
        <c:axId val="0"/>
      </c:bar3DChart>
      <c:catAx>
        <c:axId val="16956522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695654672"/>
        <c:crosses val="autoZero"/>
        <c:auto val="1"/>
        <c:lblAlgn val="ctr"/>
        <c:lblOffset val="100"/>
        <c:noMultiLvlLbl val="0"/>
      </c:catAx>
      <c:valAx>
        <c:axId val="169565467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69565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Project.xlsx]Sheet2!PivotTable2</c:name>
    <c:fmtId val="6"/>
  </c:pivotSource>
  <c:chart>
    <c:title>
      <c:tx>
        <c:rich>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r>
              <a:rPr lang="en-US">
                <a:solidFill>
                  <a:srgbClr val="FF0000"/>
                </a:solidFill>
              </a:rPr>
              <a:t>Sales by Region</a:t>
            </a:r>
          </a:p>
          <a:p>
            <a:pPr>
              <a:defRPr>
                <a:solidFill>
                  <a:srgbClr val="FF0000"/>
                </a:solidFill>
              </a:defRPr>
            </a:pPr>
            <a:endParaRPr lang="en-US">
              <a:solidFill>
                <a:srgbClr val="FF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Sheet2!$M$3</c:f>
              <c:strCache>
                <c:ptCount val="1"/>
                <c:pt idx="0">
                  <c:v>Total</c:v>
                </c:pt>
              </c:strCache>
            </c:strRef>
          </c:tx>
          <c:spPr>
            <a:solidFill>
              <a:schemeClr val="accent6">
                <a:lumMod val="60000"/>
                <a:lumOff val="40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Sheet2!$L$4:$L$8</c:f>
              <c:strCache>
                <c:ptCount val="5"/>
                <c:pt idx="0">
                  <c:v>Central</c:v>
                </c:pt>
                <c:pt idx="1">
                  <c:v>East</c:v>
                </c:pt>
                <c:pt idx="2">
                  <c:v>North</c:v>
                </c:pt>
                <c:pt idx="3">
                  <c:v>South</c:v>
                </c:pt>
                <c:pt idx="4">
                  <c:v>West</c:v>
                </c:pt>
              </c:strCache>
            </c:strRef>
          </c:cat>
          <c:val>
            <c:numRef>
              <c:f>Sheet2!$M$4:$M$8</c:f>
              <c:numCache>
                <c:formatCode>General</c:formatCode>
                <c:ptCount val="5"/>
                <c:pt idx="0">
                  <c:v>3010</c:v>
                </c:pt>
                <c:pt idx="1">
                  <c:v>1842</c:v>
                </c:pt>
                <c:pt idx="2">
                  <c:v>4075</c:v>
                </c:pt>
                <c:pt idx="3">
                  <c:v>1063</c:v>
                </c:pt>
                <c:pt idx="4">
                  <c:v>3666</c:v>
                </c:pt>
              </c:numCache>
            </c:numRef>
          </c:val>
          <c:extLst>
            <c:ext xmlns:c16="http://schemas.microsoft.com/office/drawing/2014/chart" uri="{C3380CC4-5D6E-409C-BE32-E72D297353CC}">
              <c16:uniqueId val="{00000000-A81B-44E3-957F-A48CB2FD65B9}"/>
            </c:ext>
          </c:extLst>
        </c:ser>
        <c:dLbls>
          <c:showLegendKey val="0"/>
          <c:showVal val="1"/>
          <c:showCatName val="0"/>
          <c:showSerName val="0"/>
          <c:showPercent val="0"/>
          <c:showBubbleSize val="0"/>
        </c:dLbls>
        <c:gapWidth val="65"/>
        <c:shape val="box"/>
        <c:axId val="1695659952"/>
        <c:axId val="1695660432"/>
        <c:axId val="0"/>
      </c:bar3DChart>
      <c:catAx>
        <c:axId val="1695659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695660432"/>
        <c:crosses val="autoZero"/>
        <c:auto val="1"/>
        <c:lblAlgn val="ctr"/>
        <c:lblOffset val="100"/>
        <c:noMultiLvlLbl val="0"/>
      </c:catAx>
      <c:valAx>
        <c:axId val="16956604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69565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Project.xlsx]Sheet2!PivotTable4</c:name>
    <c:fmtId val="6"/>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sz="1800" b="1">
                <a:solidFill>
                  <a:schemeClr val="accent6"/>
                </a:solidFill>
              </a:rPr>
              <a:t>Sales by Fulfillment Partner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Sheet2!$C$16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Sheet2!$B$17:$B$21</c:f>
              <c:strCache>
                <c:ptCount val="5"/>
                <c:pt idx="0">
                  <c:v>Amazon Logistics</c:v>
                </c:pt>
                <c:pt idx="1">
                  <c:v>DHL</c:v>
                </c:pt>
                <c:pt idx="2">
                  <c:v>FedEx</c:v>
                </c:pt>
                <c:pt idx="3">
                  <c:v>UPS</c:v>
                </c:pt>
                <c:pt idx="4">
                  <c:v>USPS</c:v>
                </c:pt>
              </c:strCache>
            </c:strRef>
          </c:cat>
          <c:val>
            <c:numRef>
              <c:f>Sheet2!$C$17:$C$21</c:f>
              <c:numCache>
                <c:formatCode>General</c:formatCode>
                <c:ptCount val="5"/>
                <c:pt idx="0">
                  <c:v>2234</c:v>
                </c:pt>
                <c:pt idx="1">
                  <c:v>2365</c:v>
                </c:pt>
                <c:pt idx="2">
                  <c:v>1934</c:v>
                </c:pt>
                <c:pt idx="3">
                  <c:v>2578</c:v>
                </c:pt>
                <c:pt idx="4">
                  <c:v>4545</c:v>
                </c:pt>
              </c:numCache>
            </c:numRef>
          </c:val>
          <c:extLst>
            <c:ext xmlns:c16="http://schemas.microsoft.com/office/drawing/2014/chart" uri="{C3380CC4-5D6E-409C-BE32-E72D297353CC}">
              <c16:uniqueId val="{00000000-B356-4D34-A1FA-C60611C9180C}"/>
            </c:ext>
          </c:extLst>
        </c:ser>
        <c:dLbls>
          <c:showLegendKey val="0"/>
          <c:showVal val="1"/>
          <c:showCatName val="0"/>
          <c:showSerName val="0"/>
          <c:showPercent val="0"/>
          <c:showBubbleSize val="0"/>
        </c:dLbls>
        <c:gapWidth val="150"/>
        <c:shape val="box"/>
        <c:axId val="1695649872"/>
        <c:axId val="1695666672"/>
        <c:axId val="0"/>
      </c:bar3DChart>
      <c:catAx>
        <c:axId val="169564987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95666672"/>
        <c:crosses val="autoZero"/>
        <c:auto val="1"/>
        <c:lblAlgn val="ctr"/>
        <c:lblOffset val="100"/>
        <c:noMultiLvlLbl val="0"/>
      </c:catAx>
      <c:valAx>
        <c:axId val="169566667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9564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Project.xlsx]Sheet2!PivotTable5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solidFill>
                <a:latin typeface="+mn-lt"/>
                <a:ea typeface="+mn-ea"/>
                <a:cs typeface="+mn-cs"/>
              </a:defRPr>
            </a:pPr>
            <a:r>
              <a:rPr lang="en-US" sz="1800" b="1" i="0" u="none" strike="noStrike" kern="1200" cap="none" spc="0" normalizeH="0" baseline="0">
                <a:solidFill>
                  <a:schemeClr val="accent6"/>
                </a:solidFill>
              </a:rPr>
              <a:t>Monthly Sales</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6"/>
                </a:solidFill>
              </a:defRPr>
            </a:pPr>
            <a:endParaRPr lang="en-US" sz="1800" b="1">
              <a:solidFill>
                <a:schemeClr val="accent6"/>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Sheet2!$J$16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Sheet2!$I$17:$I$28</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Sheet2!$J$17:$J$28</c:f>
              <c:numCache>
                <c:formatCode>General</c:formatCode>
                <c:ptCount val="12"/>
                <c:pt idx="0">
                  <c:v>0</c:v>
                </c:pt>
                <c:pt idx="1">
                  <c:v>0</c:v>
                </c:pt>
                <c:pt idx="2">
                  <c:v>2767</c:v>
                </c:pt>
                <c:pt idx="3">
                  <c:v>1298</c:v>
                </c:pt>
                <c:pt idx="4">
                  <c:v>192</c:v>
                </c:pt>
                <c:pt idx="5">
                  <c:v>459</c:v>
                </c:pt>
                <c:pt idx="6">
                  <c:v>1669</c:v>
                </c:pt>
                <c:pt idx="7">
                  <c:v>0</c:v>
                </c:pt>
                <c:pt idx="8">
                  <c:v>97</c:v>
                </c:pt>
                <c:pt idx="9">
                  <c:v>4810</c:v>
                </c:pt>
                <c:pt idx="10">
                  <c:v>1070</c:v>
                </c:pt>
                <c:pt idx="11">
                  <c:v>1294</c:v>
                </c:pt>
              </c:numCache>
            </c:numRef>
          </c:val>
          <c:smooth val="0"/>
          <c:extLst>
            <c:ext xmlns:c16="http://schemas.microsoft.com/office/drawing/2014/chart" uri="{C3380CC4-5D6E-409C-BE32-E72D297353CC}">
              <c16:uniqueId val="{00000000-CBD2-4C2B-ADBE-7332CC588622}"/>
            </c:ext>
          </c:extLst>
        </c:ser>
        <c:dLbls>
          <c:dLblPos val="t"/>
          <c:showLegendKey val="0"/>
          <c:showVal val="1"/>
          <c:showCatName val="0"/>
          <c:showSerName val="0"/>
          <c:showPercent val="0"/>
          <c:showBubbleSize val="0"/>
        </c:dLbls>
        <c:marker val="1"/>
        <c:smooth val="0"/>
        <c:axId val="1695672432"/>
        <c:axId val="1695670992"/>
      </c:lineChart>
      <c:catAx>
        <c:axId val="169567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95670992"/>
        <c:crosses val="autoZero"/>
        <c:auto val="1"/>
        <c:lblAlgn val="ctr"/>
        <c:lblOffset val="100"/>
        <c:noMultiLvlLbl val="0"/>
      </c:catAx>
      <c:valAx>
        <c:axId val="169567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956724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1.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9.png"/><Relationship Id="rId4" Type="http://schemas.openxmlformats.org/officeDocument/2006/relationships/image" Target="../media/image4.svg"/><Relationship Id="rId9" Type="http://schemas.openxmlformats.org/officeDocument/2006/relationships/hyperlink" Target="#AmazonSales!A1"/><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7</xdr:col>
      <xdr:colOff>546100</xdr:colOff>
      <xdr:row>0</xdr:row>
      <xdr:rowOff>171450</xdr:rowOff>
    </xdr:from>
    <xdr:to>
      <xdr:col>9</xdr:col>
      <xdr:colOff>412750</xdr:colOff>
      <xdr:row>13</xdr:row>
      <xdr:rowOff>120650</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23890320-929D-949E-BA4C-4D1E740197F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153400" y="171450"/>
              <a:ext cx="2000250" cy="242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xdr:colOff>
      <xdr:row>1</xdr:row>
      <xdr:rowOff>1</xdr:rowOff>
    </xdr:from>
    <xdr:to>
      <xdr:col>7</xdr:col>
      <xdr:colOff>425450</xdr:colOff>
      <xdr:row>13</xdr:row>
      <xdr:rowOff>114300</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127F54DF-B541-E142-BF0A-EA7EB55D9B7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032500" y="184151"/>
              <a:ext cx="2000250" cy="2406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6350</xdr:colOff>
      <xdr:row>0</xdr:row>
      <xdr:rowOff>19050</xdr:rowOff>
    </xdr:from>
    <xdr:to>
      <xdr:col>4</xdr:col>
      <xdr:colOff>1492250</xdr:colOff>
      <xdr:row>1</xdr:row>
      <xdr:rowOff>222250</xdr:rowOff>
    </xdr:to>
    <xdr:sp macro="" textlink="">
      <xdr:nvSpPr>
        <xdr:cNvPr id="5" name="Rectangle 4">
          <a:extLst>
            <a:ext uri="{FF2B5EF4-FFF2-40B4-BE49-F238E27FC236}">
              <a16:creationId xmlns:a16="http://schemas.microsoft.com/office/drawing/2014/main" id="{EE7765BE-04A8-8A37-CFFB-8F8FE10D189B}"/>
            </a:ext>
          </a:extLst>
        </xdr:cNvPr>
        <xdr:cNvSpPr/>
      </xdr:nvSpPr>
      <xdr:spPr>
        <a:xfrm>
          <a:off x="3238500" y="19050"/>
          <a:ext cx="2622550" cy="38735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effectLst/>
              <a:latin typeface="+mn-lt"/>
              <a:ea typeface="+mn-ea"/>
              <a:cs typeface="+mn-cs"/>
            </a:rPr>
            <a:t>Average Delivery Days by Region</a:t>
          </a:r>
        </a:p>
      </xdr:txBody>
    </xdr:sp>
    <xdr:clientData/>
  </xdr:twoCellAnchor>
  <xdr:twoCellAnchor>
    <xdr:from>
      <xdr:col>3</xdr:col>
      <xdr:colOff>0</xdr:colOff>
      <xdr:row>9</xdr:row>
      <xdr:rowOff>82550</xdr:rowOff>
    </xdr:from>
    <xdr:to>
      <xdr:col>4</xdr:col>
      <xdr:colOff>1504950</xdr:colOff>
      <xdr:row>11</xdr:row>
      <xdr:rowOff>107950</xdr:rowOff>
    </xdr:to>
    <xdr:sp macro="" textlink="">
      <xdr:nvSpPr>
        <xdr:cNvPr id="6" name="Rectangle 5">
          <a:extLst>
            <a:ext uri="{FF2B5EF4-FFF2-40B4-BE49-F238E27FC236}">
              <a16:creationId xmlns:a16="http://schemas.microsoft.com/office/drawing/2014/main" id="{AAB32C25-85DF-4DE5-AA66-4ED8E852B768}"/>
            </a:ext>
          </a:extLst>
        </xdr:cNvPr>
        <xdr:cNvSpPr/>
      </xdr:nvSpPr>
      <xdr:spPr>
        <a:xfrm>
          <a:off x="3371850" y="1822450"/>
          <a:ext cx="2641600" cy="39370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tx1"/>
              </a:solidFill>
              <a:effectLst/>
              <a:latin typeface="+mn-lt"/>
              <a:ea typeface="+mn-ea"/>
              <a:cs typeface="+mn-cs"/>
            </a:rPr>
            <a:t>Count of Orders by Delivery</a:t>
          </a:r>
          <a:r>
            <a:rPr lang="en-US" sz="1200" b="1" baseline="0">
              <a:solidFill>
                <a:schemeClr val="tx1"/>
              </a:solidFill>
              <a:effectLst/>
              <a:latin typeface="+mn-lt"/>
              <a:ea typeface="+mn-ea"/>
              <a:cs typeface="+mn-cs"/>
            </a:rPr>
            <a:t> Status</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tx1"/>
            </a:solidFill>
            <a:effectLst/>
            <a:latin typeface="+mn-lt"/>
            <a:ea typeface="+mn-ea"/>
            <a:cs typeface="+mn-cs"/>
          </a:endParaRPr>
        </a:p>
        <a:p>
          <a:pPr marL="0" indent="0" algn="l"/>
          <a:endParaRPr lang="en-US" sz="1100">
            <a:solidFill>
              <a:schemeClr val="tx1"/>
            </a:solidFill>
            <a:effectLst/>
            <a:latin typeface="+mn-lt"/>
            <a:ea typeface="+mn-ea"/>
            <a:cs typeface="+mn-cs"/>
          </a:endParaRPr>
        </a:p>
      </xdr:txBody>
    </xdr:sp>
    <xdr:clientData/>
  </xdr:twoCellAnchor>
  <xdr:twoCellAnchor>
    <xdr:from>
      <xdr:col>0</xdr:col>
      <xdr:colOff>12700</xdr:colOff>
      <xdr:row>0</xdr:row>
      <xdr:rowOff>19050</xdr:rowOff>
    </xdr:from>
    <xdr:to>
      <xdr:col>1</xdr:col>
      <xdr:colOff>1466850</xdr:colOff>
      <xdr:row>1</xdr:row>
      <xdr:rowOff>254000</xdr:rowOff>
    </xdr:to>
    <xdr:sp macro="" textlink="">
      <xdr:nvSpPr>
        <xdr:cNvPr id="7" name="Rectangle 6">
          <a:extLst>
            <a:ext uri="{FF2B5EF4-FFF2-40B4-BE49-F238E27FC236}">
              <a16:creationId xmlns:a16="http://schemas.microsoft.com/office/drawing/2014/main" id="{D0105AE2-18E4-4EDF-BD25-5CE8BCDAA3CF}"/>
            </a:ext>
          </a:extLst>
        </xdr:cNvPr>
        <xdr:cNvSpPr/>
      </xdr:nvSpPr>
      <xdr:spPr>
        <a:xfrm>
          <a:off x="12700" y="19050"/>
          <a:ext cx="2863850" cy="41910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effectLst/>
              <a:latin typeface="+mn-lt"/>
              <a:ea typeface="+mn-ea"/>
              <a:cs typeface="+mn-cs"/>
            </a:rPr>
            <a:t>Total Sales Amount by Region</a:t>
          </a:r>
          <a:endParaRPr lang="en-US" sz="1600" b="1">
            <a:solidFill>
              <a:schemeClr val="tx1"/>
            </a:solidFill>
          </a:endParaRPr>
        </a:p>
      </xdr:txBody>
    </xdr:sp>
    <xdr:clientData/>
  </xdr:twoCellAnchor>
  <xdr:twoCellAnchor>
    <xdr:from>
      <xdr:col>10</xdr:col>
      <xdr:colOff>0</xdr:colOff>
      <xdr:row>0</xdr:row>
      <xdr:rowOff>38100</xdr:rowOff>
    </xdr:from>
    <xdr:to>
      <xdr:col>12</xdr:col>
      <xdr:colOff>546100</xdr:colOff>
      <xdr:row>1</xdr:row>
      <xdr:rowOff>254000</xdr:rowOff>
    </xdr:to>
    <xdr:sp macro="" textlink="">
      <xdr:nvSpPr>
        <xdr:cNvPr id="2" name="Rectangle 1">
          <a:extLst>
            <a:ext uri="{FF2B5EF4-FFF2-40B4-BE49-F238E27FC236}">
              <a16:creationId xmlns:a16="http://schemas.microsoft.com/office/drawing/2014/main" id="{0F8C3BBC-C896-4F93-ADAF-E2D32003C79A}"/>
            </a:ext>
          </a:extLst>
        </xdr:cNvPr>
        <xdr:cNvSpPr/>
      </xdr:nvSpPr>
      <xdr:spPr>
        <a:xfrm>
          <a:off x="10350500" y="38100"/>
          <a:ext cx="3365500" cy="40005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baseline="0">
              <a:solidFill>
                <a:schemeClr val="tx1"/>
              </a:solidFill>
              <a:effectLst/>
              <a:latin typeface="+mn-lt"/>
              <a:ea typeface="+mn-ea"/>
              <a:cs typeface="+mn-cs"/>
            </a:rPr>
            <a:t>Effective Sales by Product Category</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tx1"/>
            </a:solidFill>
            <a:effectLst/>
            <a:latin typeface="+mn-lt"/>
            <a:ea typeface="+mn-ea"/>
            <a:cs typeface="+mn-cs"/>
          </a:endParaRPr>
        </a:p>
        <a:p>
          <a:pPr marL="0" indent="0" algn="l"/>
          <a:endParaRPr lang="en-US" sz="1100">
            <a:solidFill>
              <a:schemeClr val="tx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1219200</xdr:colOff>
      <xdr:row>0</xdr:row>
      <xdr:rowOff>25401</xdr:rowOff>
    </xdr:from>
    <xdr:to>
      <xdr:col>4</xdr:col>
      <xdr:colOff>603066</xdr:colOff>
      <xdr:row>1</xdr:row>
      <xdr:rowOff>203200</xdr:rowOff>
    </xdr:to>
    <xdr:sp macro="" textlink="">
      <xdr:nvSpPr>
        <xdr:cNvPr id="3" name="Rectangle 2">
          <a:extLst>
            <a:ext uri="{FF2B5EF4-FFF2-40B4-BE49-F238E27FC236}">
              <a16:creationId xmlns:a16="http://schemas.microsoft.com/office/drawing/2014/main" id="{2DEB981C-6B9F-4835-8F1B-B0C7FABCC08B}"/>
            </a:ext>
          </a:extLst>
        </xdr:cNvPr>
        <xdr:cNvSpPr/>
      </xdr:nvSpPr>
      <xdr:spPr>
        <a:xfrm>
          <a:off x="1219200" y="25401"/>
          <a:ext cx="3162116" cy="380999"/>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chemeClr val="lt1"/>
              </a:solidFill>
              <a:effectLst/>
              <a:latin typeface="+mn-lt"/>
              <a:ea typeface="+mn-ea"/>
              <a:cs typeface="+mn-cs"/>
            </a:rPr>
            <a:t>Cancellation Rate by Region </a:t>
          </a:r>
          <a:endParaRPr lang="en-US" sz="2000">
            <a:effectLst/>
          </a:endParaRPr>
        </a:p>
        <a:p>
          <a:pPr algn="ctr"/>
          <a:endParaRPr lang="en-US" sz="2000"/>
        </a:p>
      </xdr:txBody>
    </xdr:sp>
    <xdr:clientData/>
  </xdr:twoCellAnchor>
  <xdr:twoCellAnchor>
    <xdr:from>
      <xdr:col>6</xdr:col>
      <xdr:colOff>565150</xdr:colOff>
      <xdr:row>0</xdr:row>
      <xdr:rowOff>25400</xdr:rowOff>
    </xdr:from>
    <xdr:to>
      <xdr:col>11</xdr:col>
      <xdr:colOff>558800</xdr:colOff>
      <xdr:row>1</xdr:row>
      <xdr:rowOff>203199</xdr:rowOff>
    </xdr:to>
    <xdr:sp macro="" textlink="">
      <xdr:nvSpPr>
        <xdr:cNvPr id="4" name="Rectangle 3">
          <a:extLst>
            <a:ext uri="{FF2B5EF4-FFF2-40B4-BE49-F238E27FC236}">
              <a16:creationId xmlns:a16="http://schemas.microsoft.com/office/drawing/2014/main" id="{100038D3-B049-4C68-A86E-F388651373D8}"/>
            </a:ext>
          </a:extLst>
        </xdr:cNvPr>
        <xdr:cNvSpPr/>
      </xdr:nvSpPr>
      <xdr:spPr>
        <a:xfrm>
          <a:off x="6267450" y="25400"/>
          <a:ext cx="4540250" cy="380999"/>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chemeClr val="lt1"/>
              </a:solidFill>
              <a:effectLst/>
              <a:latin typeface="+mn-lt"/>
              <a:ea typeface="+mn-ea"/>
              <a:cs typeface="+mn-cs"/>
            </a:rPr>
            <a:t>Sales Amount for Delivered Orders Only</a:t>
          </a:r>
          <a:endParaRPr lang="en-US" sz="20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2000">
            <a:effectLst/>
          </a:endParaRPr>
        </a:p>
        <a:p>
          <a:pPr algn="ctr"/>
          <a:endParaRPr lang="en-US" sz="2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447184</xdr:colOff>
      <xdr:row>1</xdr:row>
      <xdr:rowOff>140549</xdr:rowOff>
    </xdr:from>
    <xdr:to>
      <xdr:col>34</xdr:col>
      <xdr:colOff>341194</xdr:colOff>
      <xdr:row>12</xdr:row>
      <xdr:rowOff>94365</xdr:rowOff>
    </xdr:to>
    <xdr:sp macro="" textlink="">
      <xdr:nvSpPr>
        <xdr:cNvPr id="3" name="Rectangle 2">
          <a:extLst>
            <a:ext uri="{FF2B5EF4-FFF2-40B4-BE49-F238E27FC236}">
              <a16:creationId xmlns:a16="http://schemas.microsoft.com/office/drawing/2014/main" id="{F6C07186-C2E8-D28F-C526-72C13B7086D5}"/>
            </a:ext>
          </a:extLst>
        </xdr:cNvPr>
        <xdr:cNvSpPr/>
      </xdr:nvSpPr>
      <xdr:spPr>
        <a:xfrm>
          <a:off x="17410755" y="412692"/>
          <a:ext cx="4157582" cy="194953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4400" b="0" i="0" u="none" strike="noStrike">
              <a:solidFill>
                <a:schemeClr val="lt1"/>
              </a:solidFill>
              <a:effectLst/>
              <a:latin typeface="+mn-lt"/>
              <a:ea typeface="+mn-ea"/>
              <a:cs typeface="+mn-cs"/>
            </a:rPr>
            <a:t>     </a:t>
          </a:r>
          <a:r>
            <a:rPr lang="en-US" sz="4400" b="0" i="0" u="none" strike="noStrike">
              <a:solidFill>
                <a:schemeClr val="bg2">
                  <a:lumMod val="10000"/>
                </a:schemeClr>
              </a:solidFill>
              <a:effectLst/>
              <a:latin typeface="+mn-lt"/>
              <a:ea typeface="+mn-ea"/>
              <a:cs typeface="+mn-cs"/>
            </a:rPr>
            <a:t>13656.00</a:t>
          </a:r>
          <a:endParaRPr lang="en-US" sz="4400">
            <a:solidFill>
              <a:schemeClr val="bg2">
                <a:lumMod val="10000"/>
              </a:schemeClr>
            </a:solidFill>
          </a:endParaRPr>
        </a:p>
      </xdr:txBody>
    </xdr:sp>
    <xdr:clientData/>
  </xdr:twoCellAnchor>
  <xdr:twoCellAnchor>
    <xdr:from>
      <xdr:col>27</xdr:col>
      <xdr:colOff>434224</xdr:colOff>
      <xdr:row>12</xdr:row>
      <xdr:rowOff>121195</xdr:rowOff>
    </xdr:from>
    <xdr:to>
      <xdr:col>34</xdr:col>
      <xdr:colOff>337713</xdr:colOff>
      <xdr:row>21</xdr:row>
      <xdr:rowOff>112250</xdr:rowOff>
    </xdr:to>
    <xdr:sp macro="" textlink="">
      <xdr:nvSpPr>
        <xdr:cNvPr id="4" name="Rectangle 3">
          <a:extLst>
            <a:ext uri="{FF2B5EF4-FFF2-40B4-BE49-F238E27FC236}">
              <a16:creationId xmlns:a16="http://schemas.microsoft.com/office/drawing/2014/main" id="{473D4BF9-9046-4EDB-A692-26E4AE42F52C}"/>
            </a:ext>
          </a:extLst>
        </xdr:cNvPr>
        <xdr:cNvSpPr/>
      </xdr:nvSpPr>
      <xdr:spPr>
        <a:xfrm>
          <a:off x="17397795" y="2389052"/>
          <a:ext cx="4167061" cy="16239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4000">
              <a:solidFill>
                <a:schemeClr val="bg2">
                  <a:lumMod val="10000"/>
                </a:schemeClr>
              </a:solidFill>
            </a:rPr>
            <a:t>32.35% </a:t>
          </a:r>
        </a:p>
      </xdr:txBody>
    </xdr:sp>
    <xdr:clientData/>
  </xdr:twoCellAnchor>
  <xdr:twoCellAnchor>
    <xdr:from>
      <xdr:col>27</xdr:col>
      <xdr:colOff>445614</xdr:colOff>
      <xdr:row>21</xdr:row>
      <xdr:rowOff>151644</xdr:rowOff>
    </xdr:from>
    <xdr:to>
      <xdr:col>34</xdr:col>
      <xdr:colOff>349898</xdr:colOff>
      <xdr:row>33</xdr:row>
      <xdr:rowOff>50596</xdr:rowOff>
    </xdr:to>
    <xdr:sp macro="" textlink="">
      <xdr:nvSpPr>
        <xdr:cNvPr id="5" name="Rectangle 4">
          <a:extLst>
            <a:ext uri="{FF2B5EF4-FFF2-40B4-BE49-F238E27FC236}">
              <a16:creationId xmlns:a16="http://schemas.microsoft.com/office/drawing/2014/main" id="{F7587A85-CCCC-4524-A568-F2BCD4B43373}"/>
            </a:ext>
          </a:extLst>
        </xdr:cNvPr>
        <xdr:cNvSpPr/>
      </xdr:nvSpPr>
      <xdr:spPr>
        <a:xfrm>
          <a:off x="17456930" y="4563223"/>
          <a:ext cx="4193319" cy="2171584"/>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800" b="0" i="0">
              <a:solidFill>
                <a:schemeClr val="bg2">
                  <a:lumMod val="10000"/>
                </a:schemeClr>
              </a:solidFill>
              <a:effectLst/>
              <a:latin typeface="+mn-lt"/>
              <a:ea typeface="+mn-ea"/>
              <a:cs typeface="+mn-cs"/>
            </a:rPr>
            <a:t>1. North</a:t>
          </a:r>
        </a:p>
        <a:p>
          <a:pPr algn="l"/>
          <a:r>
            <a:rPr lang="en-US" sz="2800" b="0" i="0">
              <a:solidFill>
                <a:schemeClr val="bg2">
                  <a:lumMod val="10000"/>
                </a:schemeClr>
              </a:solidFill>
              <a:effectLst/>
              <a:latin typeface="+mn-lt"/>
              <a:ea typeface="+mn-ea"/>
              <a:cs typeface="+mn-cs"/>
            </a:rPr>
            <a:t>                 2. West</a:t>
          </a:r>
        </a:p>
        <a:p>
          <a:pPr algn="l"/>
          <a:r>
            <a:rPr lang="en-US" sz="2800" b="0" i="0">
              <a:solidFill>
                <a:schemeClr val="bg2">
                  <a:lumMod val="10000"/>
                </a:schemeClr>
              </a:solidFill>
              <a:effectLst/>
              <a:latin typeface="+mn-lt"/>
              <a:ea typeface="+mn-ea"/>
              <a:cs typeface="+mn-cs"/>
            </a:rPr>
            <a:t>                 3. Central</a:t>
          </a:r>
          <a:endParaRPr lang="en-US" sz="2800">
            <a:solidFill>
              <a:schemeClr val="bg2">
                <a:lumMod val="10000"/>
              </a:schemeClr>
            </a:solidFill>
          </a:endParaRPr>
        </a:p>
      </xdr:txBody>
    </xdr:sp>
    <xdr:clientData/>
  </xdr:twoCellAnchor>
  <xdr:twoCellAnchor>
    <xdr:from>
      <xdr:col>27</xdr:col>
      <xdr:colOff>456754</xdr:colOff>
      <xdr:row>33</xdr:row>
      <xdr:rowOff>87586</xdr:rowOff>
    </xdr:from>
    <xdr:to>
      <xdr:col>34</xdr:col>
      <xdr:colOff>338252</xdr:colOff>
      <xdr:row>41</xdr:row>
      <xdr:rowOff>118271</xdr:rowOff>
    </xdr:to>
    <xdr:sp macro="" textlink="">
      <xdr:nvSpPr>
        <xdr:cNvPr id="11" name="Rectangle 10">
          <a:extLst>
            <a:ext uri="{FF2B5EF4-FFF2-40B4-BE49-F238E27FC236}">
              <a16:creationId xmlns:a16="http://schemas.microsoft.com/office/drawing/2014/main" id="{26CFAA77-5D10-42FD-B0B6-DA7159FFE4EE}"/>
            </a:ext>
          </a:extLst>
        </xdr:cNvPr>
        <xdr:cNvSpPr/>
      </xdr:nvSpPr>
      <xdr:spPr>
        <a:xfrm>
          <a:off x="17468070" y="6771797"/>
          <a:ext cx="4170533" cy="1545772"/>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0" i="0">
              <a:solidFill>
                <a:schemeClr val="bg2">
                  <a:lumMod val="10000"/>
                </a:schemeClr>
              </a:solidFill>
              <a:effectLst/>
              <a:latin typeface="+mn-lt"/>
              <a:ea typeface="+mn-ea"/>
              <a:cs typeface="+mn-cs"/>
            </a:rPr>
            <a:t>        Electronics (6126)</a:t>
          </a:r>
          <a:endParaRPr lang="en-US" sz="3200">
            <a:solidFill>
              <a:schemeClr val="bg2">
                <a:lumMod val="10000"/>
              </a:schemeClr>
            </a:solidFill>
          </a:endParaRPr>
        </a:p>
      </xdr:txBody>
    </xdr:sp>
    <xdr:clientData/>
  </xdr:twoCellAnchor>
  <xdr:twoCellAnchor>
    <xdr:from>
      <xdr:col>28</xdr:col>
      <xdr:colOff>299680</xdr:colOff>
      <xdr:row>2</xdr:row>
      <xdr:rowOff>136290</xdr:rowOff>
    </xdr:from>
    <xdr:to>
      <xdr:col>33</xdr:col>
      <xdr:colOff>387516</xdr:colOff>
      <xdr:row>5</xdr:row>
      <xdr:rowOff>120995</xdr:rowOff>
    </xdr:to>
    <xdr:sp macro="" textlink="">
      <xdr:nvSpPr>
        <xdr:cNvPr id="14" name="Rectangle 13">
          <a:extLst>
            <a:ext uri="{FF2B5EF4-FFF2-40B4-BE49-F238E27FC236}">
              <a16:creationId xmlns:a16="http://schemas.microsoft.com/office/drawing/2014/main" id="{23663880-5BCB-4000-811B-F15EFC7F17FF}"/>
            </a:ext>
          </a:extLst>
        </xdr:cNvPr>
        <xdr:cNvSpPr/>
      </xdr:nvSpPr>
      <xdr:spPr>
        <a:xfrm>
          <a:off x="17804829" y="591215"/>
          <a:ext cx="3120672" cy="524929"/>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Total</a:t>
          </a:r>
          <a:r>
            <a:rPr lang="en-US" sz="2000" baseline="0"/>
            <a:t> Revenue KPI</a:t>
          </a:r>
          <a:endParaRPr lang="en-US" sz="2000"/>
        </a:p>
      </xdr:txBody>
    </xdr:sp>
    <xdr:clientData/>
  </xdr:twoCellAnchor>
  <xdr:twoCellAnchor editAs="oneCell">
    <xdr:from>
      <xdr:col>28</xdr:col>
      <xdr:colOff>139813</xdr:colOff>
      <xdr:row>27</xdr:row>
      <xdr:rowOff>87246</xdr:rowOff>
    </xdr:from>
    <xdr:to>
      <xdr:col>29</xdr:col>
      <xdr:colOff>446957</xdr:colOff>
      <xdr:row>32</xdr:row>
      <xdr:rowOff>62562</xdr:rowOff>
    </xdr:to>
    <xdr:pic>
      <xdr:nvPicPr>
        <xdr:cNvPr id="16" name="Graphic 15" descr="Bar graph with upward trend with solid fill">
          <a:extLst>
            <a:ext uri="{FF2B5EF4-FFF2-40B4-BE49-F238E27FC236}">
              <a16:creationId xmlns:a16="http://schemas.microsoft.com/office/drawing/2014/main" id="{705FA9ED-66B9-3C5E-4791-BD7820B9B3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12466" y="5076532"/>
          <a:ext cx="916226" cy="882459"/>
        </a:xfrm>
        <a:prstGeom prst="rect">
          <a:avLst/>
        </a:prstGeom>
      </xdr:spPr>
    </xdr:pic>
    <xdr:clientData/>
  </xdr:twoCellAnchor>
  <xdr:twoCellAnchor>
    <xdr:from>
      <xdr:col>28</xdr:col>
      <xdr:colOff>270179</xdr:colOff>
      <xdr:row>13</xdr:row>
      <xdr:rowOff>65276</xdr:rowOff>
    </xdr:from>
    <xdr:to>
      <xdr:col>33</xdr:col>
      <xdr:colOff>358015</xdr:colOff>
      <xdr:row>16</xdr:row>
      <xdr:rowOff>49981</xdr:rowOff>
    </xdr:to>
    <xdr:sp macro="" textlink="">
      <xdr:nvSpPr>
        <xdr:cNvPr id="17" name="Rectangle 16">
          <a:extLst>
            <a:ext uri="{FF2B5EF4-FFF2-40B4-BE49-F238E27FC236}">
              <a16:creationId xmlns:a16="http://schemas.microsoft.com/office/drawing/2014/main" id="{37F0DBC7-C359-42C0-BDBA-B83CA4B9A25E}"/>
            </a:ext>
          </a:extLst>
        </xdr:cNvPr>
        <xdr:cNvSpPr/>
      </xdr:nvSpPr>
      <xdr:spPr>
        <a:xfrm>
          <a:off x="17775328" y="2501022"/>
          <a:ext cx="3120672" cy="524929"/>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aseline="0"/>
            <a:t>% Fast Deliveries KPI</a:t>
          </a:r>
          <a:endParaRPr lang="en-US" sz="2000"/>
        </a:p>
      </xdr:txBody>
    </xdr:sp>
    <xdr:clientData/>
  </xdr:twoCellAnchor>
  <xdr:twoCellAnchor editAs="oneCell">
    <xdr:from>
      <xdr:col>27</xdr:col>
      <xdr:colOff>585610</xdr:colOff>
      <xdr:row>36</xdr:row>
      <xdr:rowOff>142029</xdr:rowOff>
    </xdr:from>
    <xdr:to>
      <xdr:col>29</xdr:col>
      <xdr:colOff>283672</xdr:colOff>
      <xdr:row>41</xdr:row>
      <xdr:rowOff>117344</xdr:rowOff>
    </xdr:to>
    <xdr:pic>
      <xdr:nvPicPr>
        <xdr:cNvPr id="22" name="Graphic 21" descr="Star with solid fill">
          <a:extLst>
            <a:ext uri="{FF2B5EF4-FFF2-40B4-BE49-F238E27FC236}">
              <a16:creationId xmlns:a16="http://schemas.microsoft.com/office/drawing/2014/main" id="{A794E72D-4379-C565-DC9A-B91C197B85A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484192" y="6719492"/>
          <a:ext cx="911196" cy="875688"/>
        </a:xfrm>
        <a:prstGeom prst="rect">
          <a:avLst/>
        </a:prstGeom>
      </xdr:spPr>
    </xdr:pic>
    <xdr:clientData/>
  </xdr:twoCellAnchor>
  <xdr:twoCellAnchor>
    <xdr:from>
      <xdr:col>28</xdr:col>
      <xdr:colOff>317392</xdr:colOff>
      <xdr:row>22</xdr:row>
      <xdr:rowOff>128239</xdr:rowOff>
    </xdr:from>
    <xdr:to>
      <xdr:col>33</xdr:col>
      <xdr:colOff>405228</xdr:colOff>
      <xdr:row>25</xdr:row>
      <xdr:rowOff>112944</xdr:rowOff>
    </xdr:to>
    <xdr:sp macro="" textlink="">
      <xdr:nvSpPr>
        <xdr:cNvPr id="24" name="Rectangle 23">
          <a:extLst>
            <a:ext uri="{FF2B5EF4-FFF2-40B4-BE49-F238E27FC236}">
              <a16:creationId xmlns:a16="http://schemas.microsoft.com/office/drawing/2014/main" id="{05C75D69-D9FD-454B-B89C-8C98D4D1D22D}"/>
            </a:ext>
          </a:extLst>
        </xdr:cNvPr>
        <xdr:cNvSpPr/>
      </xdr:nvSpPr>
      <xdr:spPr>
        <a:xfrm>
          <a:off x="17822541" y="4184657"/>
          <a:ext cx="3120672" cy="524929"/>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a:solidFill>
                <a:schemeClr val="lt1"/>
              </a:solidFill>
              <a:effectLst/>
              <a:latin typeface="+mn-lt"/>
              <a:ea typeface="+mn-ea"/>
              <a:cs typeface="+mn-cs"/>
            </a:rPr>
            <a:t>Top 3 Performing Regions</a:t>
          </a:r>
          <a:endParaRPr lang="en-US" sz="2000"/>
        </a:p>
      </xdr:txBody>
    </xdr:sp>
    <xdr:clientData/>
  </xdr:twoCellAnchor>
  <xdr:twoCellAnchor>
    <xdr:from>
      <xdr:col>28</xdr:col>
      <xdr:colOff>368442</xdr:colOff>
      <xdr:row>34</xdr:row>
      <xdr:rowOff>9800</xdr:rowOff>
    </xdr:from>
    <xdr:to>
      <xdr:col>33</xdr:col>
      <xdr:colOff>456278</xdr:colOff>
      <xdr:row>36</xdr:row>
      <xdr:rowOff>179430</xdr:rowOff>
    </xdr:to>
    <xdr:sp macro="" textlink="">
      <xdr:nvSpPr>
        <xdr:cNvPr id="25" name="Rectangle 24">
          <a:extLst>
            <a:ext uri="{FF2B5EF4-FFF2-40B4-BE49-F238E27FC236}">
              <a16:creationId xmlns:a16="http://schemas.microsoft.com/office/drawing/2014/main" id="{F27DAE44-6979-4928-A8B5-943E21EDFF5C}"/>
            </a:ext>
          </a:extLst>
        </xdr:cNvPr>
        <xdr:cNvSpPr/>
      </xdr:nvSpPr>
      <xdr:spPr>
        <a:xfrm>
          <a:off x="17873591" y="6227113"/>
          <a:ext cx="3120672" cy="529780"/>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a:solidFill>
                <a:schemeClr val="lt1"/>
              </a:solidFill>
              <a:effectLst/>
              <a:latin typeface="+mn-lt"/>
              <a:ea typeface="+mn-ea"/>
              <a:cs typeface="+mn-cs"/>
            </a:rPr>
            <a:t>Highest Selling Product</a:t>
          </a:r>
          <a:endParaRPr lang="en-US" sz="1800"/>
        </a:p>
      </xdr:txBody>
    </xdr:sp>
    <xdr:clientData/>
  </xdr:twoCellAnchor>
  <xdr:twoCellAnchor editAs="oneCell">
    <xdr:from>
      <xdr:col>28</xdr:col>
      <xdr:colOff>125336</xdr:colOff>
      <xdr:row>7</xdr:row>
      <xdr:rowOff>51450</xdr:rowOff>
    </xdr:from>
    <xdr:to>
      <xdr:col>29</xdr:col>
      <xdr:colOff>366827</xdr:colOff>
      <xdr:row>12</xdr:row>
      <xdr:rowOff>65476</xdr:rowOff>
    </xdr:to>
    <xdr:pic>
      <xdr:nvPicPr>
        <xdr:cNvPr id="27" name="Graphic 26" descr="Money with solid fill">
          <a:extLst>
            <a:ext uri="{FF2B5EF4-FFF2-40B4-BE49-F238E27FC236}">
              <a16:creationId xmlns:a16="http://schemas.microsoft.com/office/drawing/2014/main" id="{BCA633AF-7FAD-1A4F-37CA-307B815DE3E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697989" y="1412164"/>
          <a:ext cx="850573" cy="921169"/>
        </a:xfrm>
        <a:prstGeom prst="rect">
          <a:avLst/>
        </a:prstGeom>
      </xdr:spPr>
    </xdr:pic>
    <xdr:clientData/>
  </xdr:twoCellAnchor>
  <xdr:twoCellAnchor editAs="oneCell">
    <xdr:from>
      <xdr:col>28</xdr:col>
      <xdr:colOff>168470</xdr:colOff>
      <xdr:row>16</xdr:row>
      <xdr:rowOff>168470</xdr:rowOff>
    </xdr:from>
    <xdr:to>
      <xdr:col>29</xdr:col>
      <xdr:colOff>473788</xdr:colOff>
      <xdr:row>21</xdr:row>
      <xdr:rowOff>175727</xdr:rowOff>
    </xdr:to>
    <xdr:pic>
      <xdr:nvPicPr>
        <xdr:cNvPr id="18" name="Graphic 17" descr="Truck with solid fill">
          <a:extLst>
            <a:ext uri="{FF2B5EF4-FFF2-40B4-BE49-F238E27FC236}">
              <a16:creationId xmlns:a16="http://schemas.microsoft.com/office/drawing/2014/main" id="{B8D942CA-8AC5-8CAB-1A1D-E867124C175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741123" y="3162041"/>
          <a:ext cx="914400" cy="914400"/>
        </a:xfrm>
        <a:prstGeom prst="rect">
          <a:avLst/>
        </a:prstGeom>
      </xdr:spPr>
    </xdr:pic>
    <xdr:clientData/>
  </xdr:twoCellAnchor>
  <xdr:twoCellAnchor>
    <xdr:from>
      <xdr:col>0</xdr:col>
      <xdr:colOff>42333</xdr:colOff>
      <xdr:row>0</xdr:row>
      <xdr:rowOff>42333</xdr:rowOff>
    </xdr:from>
    <xdr:to>
      <xdr:col>34</xdr:col>
      <xdr:colOff>317500</xdr:colOff>
      <xdr:row>1</xdr:row>
      <xdr:rowOff>105833</xdr:rowOff>
    </xdr:to>
    <xdr:sp macro="" textlink="">
      <xdr:nvSpPr>
        <xdr:cNvPr id="15" name="Rectangle: Rounded Corners 14">
          <a:extLst>
            <a:ext uri="{FF2B5EF4-FFF2-40B4-BE49-F238E27FC236}">
              <a16:creationId xmlns:a16="http://schemas.microsoft.com/office/drawing/2014/main" id="{4B3758D9-2F37-6B39-FF03-92FFF85B94A7}"/>
            </a:ext>
          </a:extLst>
        </xdr:cNvPr>
        <xdr:cNvSpPr/>
      </xdr:nvSpPr>
      <xdr:spPr>
        <a:xfrm>
          <a:off x="42333" y="42333"/>
          <a:ext cx="21621750" cy="62441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359833</xdr:colOff>
      <xdr:row>0</xdr:row>
      <xdr:rowOff>158749</xdr:rowOff>
    </xdr:from>
    <xdr:to>
      <xdr:col>3</xdr:col>
      <xdr:colOff>54185</xdr:colOff>
      <xdr:row>1</xdr:row>
      <xdr:rowOff>63499</xdr:rowOff>
    </xdr:to>
    <xdr:pic>
      <xdr:nvPicPr>
        <xdr:cNvPr id="19" name="Picture 18">
          <a:hlinkClick xmlns:r="http://schemas.openxmlformats.org/officeDocument/2006/relationships" r:id="rId9"/>
          <a:extLst>
            <a:ext uri="{FF2B5EF4-FFF2-40B4-BE49-F238E27FC236}">
              <a16:creationId xmlns:a16="http://schemas.microsoft.com/office/drawing/2014/main" id="{B2AA8B49-68D6-4E59-A859-9EC1F3F8828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59833" y="158749"/>
          <a:ext cx="2551852" cy="529167"/>
        </a:xfrm>
        <a:prstGeom prst="rect">
          <a:avLst/>
        </a:prstGeom>
      </xdr:spPr>
    </xdr:pic>
    <xdr:clientData/>
  </xdr:twoCellAnchor>
  <xdr:twoCellAnchor>
    <xdr:from>
      <xdr:col>9</xdr:col>
      <xdr:colOff>412750</xdr:colOff>
      <xdr:row>0</xdr:row>
      <xdr:rowOff>0</xdr:rowOff>
    </xdr:from>
    <xdr:to>
      <xdr:col>26</xdr:col>
      <xdr:colOff>518584</xdr:colOff>
      <xdr:row>1</xdr:row>
      <xdr:rowOff>105833</xdr:rowOff>
    </xdr:to>
    <xdr:sp macro="" textlink="">
      <xdr:nvSpPr>
        <xdr:cNvPr id="21" name="TextBox 20">
          <a:extLst>
            <a:ext uri="{FF2B5EF4-FFF2-40B4-BE49-F238E27FC236}">
              <a16:creationId xmlns:a16="http://schemas.microsoft.com/office/drawing/2014/main" id="{9FF75F2C-456A-4AAB-A99F-196B4CD1CF21}"/>
            </a:ext>
          </a:extLst>
        </xdr:cNvPr>
        <xdr:cNvSpPr txBox="1"/>
      </xdr:nvSpPr>
      <xdr:spPr>
        <a:xfrm>
          <a:off x="6413500" y="0"/>
          <a:ext cx="1054100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i="1"/>
            <a:t>Amazon Sales Performance Dashboard</a:t>
          </a:r>
        </a:p>
      </xdr:txBody>
    </xdr:sp>
    <xdr:clientData/>
  </xdr:twoCellAnchor>
  <xdr:twoCellAnchor editAs="oneCell">
    <xdr:from>
      <xdr:col>32</xdr:col>
      <xdr:colOff>486833</xdr:colOff>
      <xdr:row>0</xdr:row>
      <xdr:rowOff>42334</xdr:rowOff>
    </xdr:from>
    <xdr:to>
      <xdr:col>34</xdr:col>
      <xdr:colOff>130375</xdr:colOff>
      <xdr:row>1</xdr:row>
      <xdr:rowOff>73956</xdr:rowOff>
    </xdr:to>
    <xdr:pic>
      <xdr:nvPicPr>
        <xdr:cNvPr id="23" name="Graphic 22" descr="Bar graph with upward trend with solid fill">
          <a:extLst>
            <a:ext uri="{FF2B5EF4-FFF2-40B4-BE49-F238E27FC236}">
              <a16:creationId xmlns:a16="http://schemas.microsoft.com/office/drawing/2014/main" id="{24F05E1B-0BD8-41A4-A25C-02405152477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605750" y="42334"/>
          <a:ext cx="871208" cy="656039"/>
        </a:xfrm>
        <a:prstGeom prst="rect">
          <a:avLst/>
        </a:prstGeom>
      </xdr:spPr>
    </xdr:pic>
    <xdr:clientData/>
  </xdr:twoCellAnchor>
  <xdr:twoCellAnchor>
    <xdr:from>
      <xdr:col>1</xdr:col>
      <xdr:colOff>1051035</xdr:colOff>
      <xdr:row>1</xdr:row>
      <xdr:rowOff>164224</xdr:rowOff>
    </xdr:from>
    <xdr:to>
      <xdr:col>11</xdr:col>
      <xdr:colOff>306553</xdr:colOff>
      <xdr:row>20</xdr:row>
      <xdr:rowOff>98534</xdr:rowOff>
    </xdr:to>
    <xdr:graphicFrame macro="">
      <xdr:nvGraphicFramePr>
        <xdr:cNvPr id="20" name="Chart 19">
          <a:extLst>
            <a:ext uri="{FF2B5EF4-FFF2-40B4-BE49-F238E27FC236}">
              <a16:creationId xmlns:a16="http://schemas.microsoft.com/office/drawing/2014/main" id="{A99EEB13-6ADE-4545-9AE4-880C05D83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339587</xdr:colOff>
      <xdr:row>1</xdr:row>
      <xdr:rowOff>164224</xdr:rowOff>
    </xdr:from>
    <xdr:to>
      <xdr:col>19</xdr:col>
      <xdr:colOff>383380</xdr:colOff>
      <xdr:row>20</xdr:row>
      <xdr:rowOff>109483</xdr:rowOff>
    </xdr:to>
    <xdr:graphicFrame macro="">
      <xdr:nvGraphicFramePr>
        <xdr:cNvPr id="28" name="Chart 27">
          <a:extLst>
            <a:ext uri="{FF2B5EF4-FFF2-40B4-BE49-F238E27FC236}">
              <a16:creationId xmlns:a16="http://schemas.microsoft.com/office/drawing/2014/main" id="{63D80219-14A8-4DC7-84EA-131DB0778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405088</xdr:colOff>
      <xdr:row>1</xdr:row>
      <xdr:rowOff>153274</xdr:rowOff>
    </xdr:from>
    <xdr:to>
      <xdr:col>27</xdr:col>
      <xdr:colOff>405086</xdr:colOff>
      <xdr:row>20</xdr:row>
      <xdr:rowOff>109483</xdr:rowOff>
    </xdr:to>
    <xdr:graphicFrame macro="">
      <xdr:nvGraphicFramePr>
        <xdr:cNvPr id="29" name="Chart 28">
          <a:extLst>
            <a:ext uri="{FF2B5EF4-FFF2-40B4-BE49-F238E27FC236}">
              <a16:creationId xmlns:a16="http://schemas.microsoft.com/office/drawing/2014/main" id="{0118B4C8-ABEB-49F8-867E-07132E1D2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1036051</xdr:colOff>
      <xdr:row>20</xdr:row>
      <xdr:rowOff>142326</xdr:rowOff>
    </xdr:from>
    <xdr:to>
      <xdr:col>13</xdr:col>
      <xdr:colOff>245087</xdr:colOff>
      <xdr:row>41</xdr:row>
      <xdr:rowOff>120431</xdr:rowOff>
    </xdr:to>
    <xdr:graphicFrame macro="">
      <xdr:nvGraphicFramePr>
        <xdr:cNvPr id="30" name="Chart 29">
          <a:extLst>
            <a:ext uri="{FF2B5EF4-FFF2-40B4-BE49-F238E27FC236}">
              <a16:creationId xmlns:a16="http://schemas.microsoft.com/office/drawing/2014/main" id="{8467C44B-98FA-4A36-9F6E-21C976831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284656</xdr:colOff>
      <xdr:row>20</xdr:row>
      <xdr:rowOff>153275</xdr:rowOff>
    </xdr:from>
    <xdr:to>
      <xdr:col>27</xdr:col>
      <xdr:colOff>405086</xdr:colOff>
      <xdr:row>41</xdr:row>
      <xdr:rowOff>120431</xdr:rowOff>
    </xdr:to>
    <xdr:graphicFrame macro="">
      <xdr:nvGraphicFramePr>
        <xdr:cNvPr id="31" name="Chart 30">
          <a:extLst>
            <a:ext uri="{FF2B5EF4-FFF2-40B4-BE49-F238E27FC236}">
              <a16:creationId xmlns:a16="http://schemas.microsoft.com/office/drawing/2014/main" id="{281304E2-FFFC-4446-8323-D93F14D1A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24305</xdr:colOff>
      <xdr:row>16</xdr:row>
      <xdr:rowOff>92623</xdr:rowOff>
    </xdr:from>
    <xdr:to>
      <xdr:col>1</xdr:col>
      <xdr:colOff>1004219</xdr:colOff>
      <xdr:row>26</xdr:row>
      <xdr:rowOff>60216</xdr:rowOff>
    </xdr:to>
    <mc:AlternateContent xmlns:mc="http://schemas.openxmlformats.org/markup-compatibility/2006" xmlns:a14="http://schemas.microsoft.com/office/drawing/2010/main">
      <mc:Choice Requires="a14">
        <xdr:graphicFrame macro="">
          <xdr:nvGraphicFramePr>
            <xdr:cNvPr id="32" name="Delivery Status">
              <a:extLst>
                <a:ext uri="{FF2B5EF4-FFF2-40B4-BE49-F238E27FC236}">
                  <a16:creationId xmlns:a16="http://schemas.microsoft.com/office/drawing/2014/main" id="{D28F5190-B812-4274-C70A-8037B6570EFB}"/>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4305" y="3557272"/>
              <a:ext cx="2461581" cy="1861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24306</xdr:colOff>
      <xdr:row>1</xdr:row>
      <xdr:rowOff>180209</xdr:rowOff>
    </xdr:from>
    <xdr:to>
      <xdr:col>1</xdr:col>
      <xdr:colOff>1004220</xdr:colOff>
      <xdr:row>16</xdr:row>
      <xdr:rowOff>40159</xdr:rowOff>
    </xdr:to>
    <mc:AlternateContent xmlns:mc="http://schemas.openxmlformats.org/markup-compatibility/2006" xmlns:a14="http://schemas.microsoft.com/office/drawing/2010/main">
      <mc:Choice Requires="a14">
        <xdr:graphicFrame macro="">
          <xdr:nvGraphicFramePr>
            <xdr:cNvPr id="34" name="Payment Method 1">
              <a:extLst>
                <a:ext uri="{FF2B5EF4-FFF2-40B4-BE49-F238E27FC236}">
                  <a16:creationId xmlns:a16="http://schemas.microsoft.com/office/drawing/2014/main" id="{19489294-B75E-3EEF-16AB-1AC010B5CE22}"/>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24306" y="804069"/>
              <a:ext cx="2461581" cy="2700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18393</xdr:colOff>
      <xdr:row>26</xdr:row>
      <xdr:rowOff>141450</xdr:rowOff>
    </xdr:from>
    <xdr:to>
      <xdr:col>1</xdr:col>
      <xdr:colOff>998307</xdr:colOff>
      <xdr:row>41</xdr:row>
      <xdr:rowOff>131379</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1200687C-CFA8-CD86-DD9B-248EFCD29E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393" y="5499959"/>
              <a:ext cx="2461581" cy="2830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20168</xdr:colOff>
      <xdr:row>42</xdr:row>
      <xdr:rowOff>4023</xdr:rowOff>
    </xdr:from>
    <xdr:to>
      <xdr:col>34</xdr:col>
      <xdr:colOff>305741</xdr:colOff>
      <xdr:row>48</xdr:row>
      <xdr:rowOff>56427</xdr:rowOff>
    </xdr:to>
    <mc:AlternateContent xmlns:mc="http://schemas.openxmlformats.org/markup-compatibility/2006" xmlns:a14="http://schemas.microsoft.com/office/drawing/2010/main">
      <mc:Choice Requires="a14">
        <xdr:graphicFrame macro="">
          <xdr:nvGraphicFramePr>
            <xdr:cNvPr id="36" name="Month 1">
              <a:extLst>
                <a:ext uri="{FF2B5EF4-FFF2-40B4-BE49-F238E27FC236}">
                  <a16:creationId xmlns:a16="http://schemas.microsoft.com/office/drawing/2014/main" id="{C8D1F533-6F7E-D876-462E-E5F10BC8F62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0168" y="8392707"/>
              <a:ext cx="21636674"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31750</xdr:rowOff>
    </xdr:from>
    <xdr:to>
      <xdr:col>8</xdr:col>
      <xdr:colOff>596900</xdr:colOff>
      <xdr:row>2</xdr:row>
      <xdr:rowOff>190500</xdr:rowOff>
    </xdr:to>
    <xdr:sp macro="" textlink="">
      <xdr:nvSpPr>
        <xdr:cNvPr id="2" name="Rectangle 1">
          <a:extLst>
            <a:ext uri="{FF2B5EF4-FFF2-40B4-BE49-F238E27FC236}">
              <a16:creationId xmlns:a16="http://schemas.microsoft.com/office/drawing/2014/main" id="{253DF20C-92C4-1EE0-8E42-7DB7BB4A27D0}"/>
            </a:ext>
          </a:extLst>
        </xdr:cNvPr>
        <xdr:cNvSpPr/>
      </xdr:nvSpPr>
      <xdr:spPr>
        <a:xfrm>
          <a:off x="38100" y="31750"/>
          <a:ext cx="5435600" cy="61595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a:solidFill>
                <a:schemeClr val="lt1"/>
              </a:solidFill>
              <a:effectLst/>
              <a:latin typeface="+mn-lt"/>
              <a:ea typeface="+mn-ea"/>
              <a:cs typeface="+mn-cs"/>
            </a:rPr>
            <a:t>Brainstorming Reflection</a:t>
          </a:r>
          <a:r>
            <a:rPr lang="en-US" sz="3200">
              <a:effectLst/>
            </a:rPr>
            <a:t> </a:t>
          </a:r>
          <a:endParaRPr lang="en-US" sz="3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5.510621180554" createdVersion="8" refreshedVersion="8" minRefreshableVersion="3" recordCount="100" xr:uid="{FBD1989D-C221-47E2-A7FA-27E79F851499}">
  <cacheSource type="worksheet">
    <worksheetSource ref="A1:T101" sheet="AmazonSales_Clean"/>
  </cacheSource>
  <cacheFields count="19">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 Date" numFmtId="14">
      <sharedItems/>
    </cacheField>
    <cacheField name="Delivery Date" numFmtId="14">
      <sharedItems containsBlank="1"/>
    </cacheField>
    <cacheField name="Cancel Date" numFmtId="14">
      <sharedItems containsBlank="1"/>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Sales Amount" numFmtId="43">
      <sharedItems containsSemiMixedTypes="0" containsString="0" containsNumber="1" containsInteger="1" minValue="1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ount="5">
        <s v="DHL"/>
        <s v="USPS"/>
        <s v="UPS"/>
        <s v="Amazon Logistics"/>
        <s v="FedEx"/>
      </sharedItems>
    </cacheField>
    <cacheField name="Product Category" numFmtId="0">
      <sharedItems count="5">
        <s v="Home"/>
        <s v="Toys"/>
        <s v="Fashion"/>
        <s v="Electronics"/>
        <s v="Books"/>
      </sharedItems>
    </cacheField>
    <cacheField name="Order Status" numFmtId="0">
      <sharedItems count="3">
        <s v="Order Cancelled"/>
        <s v="Order Completed"/>
        <s v="Order Active"/>
      </sharedItems>
    </cacheField>
    <cacheField name="Delivery Days" numFmtId="0">
      <sharedItems containsMixedTypes="1" containsNumber="1" containsInteger="1" minValue="1" maxValue="7" count="8">
        <s v=""/>
        <n v="2"/>
        <n v="3"/>
        <n v="6"/>
        <n v="1"/>
        <n v="4"/>
        <n v="5"/>
        <n v="7"/>
      </sharedItems>
    </cacheField>
    <cacheField name="Delivery Performance" numFmtId="0">
      <sharedItems count="3">
        <s v="Not Delivered"/>
        <s v="Fast"/>
        <s v="Slow"/>
      </sharedItems>
    </cacheField>
    <cacheField name="Effective Sales" numFmtId="0">
      <sharedItems containsSemiMixedTypes="0" containsString="0" containsNumber="1" containsInteger="1" minValue="0" maxValue="3260"/>
    </cacheField>
    <cacheField name="Customer Name" numFmtId="0">
      <sharedItems/>
    </cacheField>
  </cacheFields>
  <extLst>
    <ext xmlns:x14="http://schemas.microsoft.com/office/spreadsheetml/2009/9/main" uri="{725AE2AE-9491-48be-B2B4-4EB974FC3084}">
      <x14:pivotCacheDefinition pivotCacheId="18800917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8.492307870372" backgroundQuery="1" createdVersion="8" refreshedVersion="8" minRefreshableVersion="3" recordCount="0" supportSubquery="1" supportAdvancedDrill="1" xr:uid="{CBAF3218-A694-4B25-A71C-0BF28ACDDAFC}">
  <cacheSource type="external" connectionId="1"/>
  <cacheFields count="3">
    <cacheField name="[Range].[Month].[Month]" caption="Month" numFmtId="0" hierarchy="2" level="1">
      <sharedItems count="12">
        <s v="Apr"/>
        <s v="Aug"/>
        <s v="Dec"/>
        <s v="Feb"/>
        <s v="Jan"/>
        <s v="Jul"/>
        <s v="Jun"/>
        <s v="Mar"/>
        <s v="May"/>
        <s v="Nov"/>
        <s v="Oct"/>
        <s v="Sep"/>
      </sharedItems>
    </cacheField>
    <cacheField name="[Range].[Product Category].[Product Category]" caption="Product Category" numFmtId="0" hierarchy="14" level="1">
      <sharedItems count="5">
        <s v="Books"/>
        <s v="Electronics"/>
        <s v="Fashion"/>
        <s v="Home"/>
        <s v="Toys"/>
      </sharedItems>
    </cacheField>
    <cacheField name="[Measures].[Sum of Effective Sales]" caption="Sum of Effective Sales" numFmtId="0" hierarchy="23" level="32767"/>
  </cacheFields>
  <cacheHierarchies count="2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Delivery Date]" caption="Delivery Date" attribute="1" defaultMemberUniqueName="[Range].[Delivery Date].[All]" allUniqueName="[Range].[Delivery Date].[All]" dimensionUniqueName="[Range]" displayFolder="" count="0" memberValueDatatype="130" unbalanced="0"/>
    <cacheHierarchy uniqueName="[Range].[Cancel Date]" caption="Cancel Date" attribute="1" defaultMemberUniqueName="[Range].[Cancel Date].[All]" allUniqueName="[Range].[Cancel Dat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 Price/Unit]" caption="Sale Price/Unit" attribute="1" defaultMemberUniqueName="[Range].[Sale Price/Unit].[All]" allUniqueName="[Range].[Sale Price/Uni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Fulfillment Partner]" caption="Fulfillment Partner" attribute="1" defaultMemberUniqueName="[Range].[Fulfillment Partner].[All]" allUniqueName="[Range].[Fulfillment Partner].[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1"/>
      </fieldsUsage>
    </cacheHierarchy>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130" unbalanced="0"/>
    <cacheHierarchy uniqueName="[Range].[Delivery Performance]" caption="Delivery Performance" attribute="1" defaultMemberUniqueName="[Range].[Delivery Performance].[All]" allUniqueName="[Range].[Delivery Performance].[All]" dimensionUniqueName="[Range]" displayFolder="" count="0" memberValueDatatype="130" unbalanced="0"/>
    <cacheHierarchy uniqueName="[Range].[Effective Sales]" caption="Effective Sales" attribute="1" defaultMemberUniqueName="[Range].[Effective Sales].[All]" allUniqueName="[Range].[Effective Sales].[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14"/>
        </ext>
      </extLst>
    </cacheHierarchy>
    <cacheHierarchy uniqueName="[Measures].[Sum of Effective Sales]" caption="Sum of Effective Sales" measure="1" displayFolder="" measureGroup="Range"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0"/>
        </ext>
      </extLst>
    </cacheHierarchy>
    <cacheHierarchy uniqueName="[Measures].[Count of Delivery Status]" caption="Count of Delivery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8.692299421295" backgroundQuery="1" createdVersion="8" refreshedVersion="8" minRefreshableVersion="3" recordCount="0" supportSubquery="1" supportAdvancedDrill="1" xr:uid="{F5456056-0D30-4BF1-8A07-A73744AD3E98}">
  <cacheSource type="external" connectionId="1"/>
  <cacheFields count="2">
    <cacheField name="[Range].[Region].[Region]" caption="Region" numFmtId="0" hierarchy="7" level="1">
      <sharedItems count="5">
        <s v="Central"/>
        <s v="East"/>
        <s v="North"/>
        <s v="South"/>
        <s v="West"/>
      </sharedItems>
    </cacheField>
    <cacheField name="[Measures].[Sum of Effective Sales]" caption="Sum of Effective Sales" numFmtId="0" hierarchy="23" level="32767"/>
  </cacheFields>
  <cacheHierarchies count="2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Delivery Date]" caption="Delivery Date" attribute="1" defaultMemberUniqueName="[Range].[Delivery Date].[All]" allUniqueName="[Range].[Delivery Date].[All]" dimensionUniqueName="[Range]" displayFolder="" count="0" memberValueDatatype="130" unbalanced="0"/>
    <cacheHierarchy uniqueName="[Range].[Cancel Date]" caption="Cancel Date" attribute="1" defaultMemberUniqueName="[Range].[Cancel Date].[All]" allUniqueName="[Range].[Cancel Dat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ale Price/Unit]" caption="Sale Price/Unit" attribute="1" defaultMemberUniqueName="[Range].[Sale Price/Unit].[All]" allUniqueName="[Range].[Sale Price/Uni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Fulfillment Partner]" caption="Fulfillment Partner" attribute="1" defaultMemberUniqueName="[Range].[Fulfillment Partner].[All]" allUniqueName="[Range].[Fulfillment Partner].[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130" unbalanced="0"/>
    <cacheHierarchy uniqueName="[Range].[Delivery Performance]" caption="Delivery Performance" attribute="1" defaultMemberUniqueName="[Range].[Delivery Performance].[All]" allUniqueName="[Range].[Delivery Performance].[All]" dimensionUniqueName="[Range]" displayFolder="" count="0" memberValueDatatype="130" unbalanced="0"/>
    <cacheHierarchy uniqueName="[Range].[Effective Sales]" caption="Effective Sales" attribute="1" defaultMemberUniqueName="[Range].[Effective Sales].[All]" allUniqueName="[Range].[Effective Sales].[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14"/>
        </ext>
      </extLst>
    </cacheHierarchy>
    <cacheHierarchy uniqueName="[Measures].[Sum of Effective Sales]" caption="Sum of Effective Sales"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0"/>
        </ext>
      </extLst>
    </cacheHierarchy>
    <cacheHierarchy uniqueName="[Measures].[Count of Delivery Status]" caption="Count of Delivery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8.688260995368" backgroundQuery="1" createdVersion="8" refreshedVersion="8" minRefreshableVersion="3" recordCount="0" supportSubquery="1" supportAdvancedDrill="1" xr:uid="{BF153A6E-7D4A-4DA1-8D37-2D6D76AE39F7}">
  <cacheSource type="external" connectionId="1"/>
  <cacheFields count="3">
    <cacheField name="[Measures].[Count of Delivery Status]" caption="Count of Delivery Status" numFmtId="0" hierarchy="25" level="32767"/>
    <cacheField name="[Range].[Region].[Region]" caption="Region" numFmtId="0" hierarchy="7" level="1">
      <sharedItems count="5">
        <s v="Central"/>
        <s v="East"/>
        <s v="North"/>
        <s v="South"/>
        <s v="West"/>
      </sharedItems>
    </cacheField>
    <cacheField name="[Range].[Order Status].[Order Status]" caption="Order Status" numFmtId="0" hierarchy="15" level="1">
      <sharedItems count="3">
        <s v="Active"/>
        <s v="Cancelled"/>
        <s v="Delivered"/>
      </sharedItems>
    </cacheField>
  </cacheFields>
  <cacheHierarchies count="2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Delivery Date]" caption="Delivery Date" attribute="1" defaultMemberUniqueName="[Range].[Delivery Date].[All]" allUniqueName="[Range].[Delivery Date].[All]" dimensionUniqueName="[Range]" displayFolder="" count="0" memberValueDatatype="130" unbalanced="0"/>
    <cacheHierarchy uniqueName="[Range].[Cancel Date]" caption="Cancel Date" attribute="1" defaultMemberUniqueName="[Range].[Cancel Date].[All]" allUniqueName="[Range].[Cancel Dat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Sale Price/Unit]" caption="Sale Price/Unit" attribute="1" defaultMemberUniqueName="[Range].[Sale Price/Unit].[All]" allUniqueName="[Range].[Sale Price/Uni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Fulfillment Partner]" caption="Fulfillment Partner" attribute="1" defaultMemberUniqueName="[Range].[Fulfillment Partner].[All]" allUniqueName="[Range].[Fulfillment Partner].[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2"/>
      </fieldsUsage>
    </cacheHierarchy>
    <cacheHierarchy uniqueName="[Range].[Delivery Days]" caption="Delivery Days" attribute="1" defaultMemberUniqueName="[Range].[Delivery Days].[All]" allUniqueName="[Range].[Delivery Days].[All]" dimensionUniqueName="[Range]" displayFolder="" count="0" memberValueDatatype="130" unbalanced="0"/>
    <cacheHierarchy uniqueName="[Range].[Delivery Performance]" caption="Delivery Performance" attribute="1" defaultMemberUniqueName="[Range].[Delivery Performance].[All]" allUniqueName="[Range].[Delivery Performance].[All]" dimensionUniqueName="[Range]" displayFolder="" count="0" memberValueDatatype="130" unbalanced="0"/>
    <cacheHierarchy uniqueName="[Range].[Effective Sales]" caption="Effective Sales" attribute="1" defaultMemberUniqueName="[Range].[Effective Sales].[All]" allUniqueName="[Range].[Effective Sales].[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14"/>
        </ext>
      </extLst>
    </cacheHierarchy>
    <cacheHierarchy uniqueName="[Measures].[Sum of Effective Sales]" caption="Sum of Effective Sales" measure="1" displayFolder="" measureGroup="Range" count="0" hidden="1">
      <extLst>
        <ext xmlns:x15="http://schemas.microsoft.com/office/spreadsheetml/2010/11/main" uri="{B97F6D7D-B522-45F9-BDA1-12C45D357490}">
          <x15:cacheHierarchy aggregatedColumn="18"/>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0"/>
        </ext>
      </extLst>
    </cacheHierarchy>
    <cacheHierarchy uniqueName="[Measures].[Count of Delivery Status]" caption="Count of Delivery Statu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0.904483449071" backgroundQuery="1" createdVersion="8" refreshedVersion="8" minRefreshableVersion="3" recordCount="0" supportSubquery="1" supportAdvancedDrill="1" xr:uid="{B6ACDB98-EC68-4BDB-A650-2D84A0044614}">
  <cacheSource type="external" connectionId="1"/>
  <cacheFields count="3">
    <cacheField name="[Range].[Product Category].[Product Category]" caption="Product Category" numFmtId="0" hierarchy="14" level="1">
      <sharedItems count="5">
        <s v="Books"/>
        <s v="Electronics"/>
        <s v="Fashion"/>
        <s v="Home"/>
        <s v="Toys"/>
      </sharedItems>
    </cacheField>
    <cacheField name="[Measures].[Sum of Effective Sales]" caption="Sum of Effective Sales" numFmtId="0" hierarchy="23" level="32767"/>
    <cacheField name="[Range].[Payment Method].[Payment Method]" caption="Payment Method" numFmtId="0" hierarchy="11" level="1">
      <sharedItems containsSemiMixedTypes="0" containsNonDate="0" containsString="0"/>
    </cacheField>
  </cacheFields>
  <cacheHierarchies count="2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Delivery Date]" caption="Delivery Date" attribute="1" defaultMemberUniqueName="[Range].[Delivery Date].[All]" allUniqueName="[Range].[Delivery Date].[All]" dimensionUniqueName="[Range]" displayFolder="" count="0" memberValueDatatype="130" unbalanced="0"/>
    <cacheHierarchy uniqueName="[Range].[Cancel Date]" caption="Cancel Date" attribute="1" defaultMemberUniqueName="[Range].[Cancel Date].[All]" allUniqueName="[Range].[Cancel Dat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Sale Price/Unit]" caption="Sale Price/Unit" attribute="1" defaultMemberUniqueName="[Range].[Sale Price/Unit].[All]" allUniqueName="[Range].[Sale Price/Uni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2"/>
      </fieldsUsage>
    </cacheHierarchy>
    <cacheHierarchy uniqueName="[Range].[Delivery Status]" caption="Delivery Status" attribute="1" defaultMemberUniqueName="[Range].[Delivery Status].[All]" allUniqueName="[Range].[Delivery Status].[All]" dimensionUniqueName="[Range]" displayFolder="" count="0" memberValueDatatype="130" unbalanced="0"/>
    <cacheHierarchy uniqueName="[Range].[Fulfillment Partner]" caption="Fulfillment Partner" attribute="1" defaultMemberUniqueName="[Range].[Fulfillment Partner].[All]" allUniqueName="[Range].[Fulfillment Partner].[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0"/>
      </fieldsUsage>
    </cacheHierarchy>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130" unbalanced="0"/>
    <cacheHierarchy uniqueName="[Range].[Delivery Performance]" caption="Delivery Performance" attribute="1" defaultMemberUniqueName="[Range].[Delivery Performance].[All]" allUniqueName="[Range].[Delivery Performance].[All]" dimensionUniqueName="[Range]" displayFolder="" count="0" memberValueDatatype="130" unbalanced="0"/>
    <cacheHierarchy uniqueName="[Range].[Effective Sales]" caption="Effective Sales" attribute="1" defaultMemberUniqueName="[Range].[Effective Sales].[All]" allUniqueName="[Range].[Effective Sales].[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14"/>
        </ext>
      </extLst>
    </cacheHierarchy>
    <cacheHierarchy uniqueName="[Measures].[Sum of Effective Sales]" caption="Sum of Effective Sales"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0"/>
        </ext>
      </extLst>
    </cacheHierarchy>
    <cacheHierarchy uniqueName="[Measures].[Count of Delivery Status]" caption="Count of Delivery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1.971410532409" backgroundQuery="1" createdVersion="8" refreshedVersion="8" minRefreshableVersion="3" recordCount="0" supportSubquery="1" supportAdvancedDrill="1" xr:uid="{36B70699-50DB-43A1-9DE6-8D033F9AEBA3}">
  <cacheSource type="external" connectionId="1"/>
  <cacheFields count="2">
    <cacheField name="[Range].[Delivery Status].[Delivery Status]" caption="Delivery Status" numFmtId="0" hierarchy="12" level="1">
      <sharedItems count="3">
        <s v="Cancelled"/>
        <s v="Delivered"/>
        <s v="In Transit" u="1"/>
      </sharedItems>
    </cacheField>
    <cacheField name="[Measures].[Count of Order Status]" caption="Count of Order Status" numFmtId="0" hierarchy="26" level="32767"/>
  </cacheFields>
  <cacheHierarchies count="27">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defaultMemberUniqueName="[Range].[Order Date].[All]" allUniqueName="[Range].[Order Date].[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Delivery Date]" caption="Delivery Date" attribute="1" defaultMemberUniqueName="[Range].[Delivery Date].[All]" allUniqueName="[Range].[Delivery Date].[All]" dimensionUniqueName="[Range]" displayFolder="" count="2" memberValueDatatype="130" unbalanced="0"/>
    <cacheHierarchy uniqueName="[Range].[Cancel Date]" caption="Cancel Date" attribute="1" defaultMemberUniqueName="[Range].[Cancel Date].[All]" allUniqueName="[Range].[Cancel Dat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ale Price/Unit]" caption="Sale Price/Unit" attribute="1" defaultMemberUniqueName="[Range].[Sale Price/Unit].[All]" allUniqueName="[Range].[Sale Price/Unit].[All]" dimensionUniqueName="[Range]" displayFolder="" count="2" memberValueDatatype="20" unbalanced="0"/>
    <cacheHierarchy uniqueName="[Range].[Quantity]" caption="Quantity" attribute="1" defaultMemberUniqueName="[Range].[Quantity].[All]" allUniqueName="[Range].[Quantity].[All]" dimensionUniqueName="[Range]" displayFolder="" count="2" memberValueDatatype="20" unbalanced="0"/>
    <cacheHierarchy uniqueName="[Range].[Sales Amount]" caption="Sales Amount" attribute="1" defaultMemberUniqueName="[Range].[Sales Amount].[All]" allUniqueName="[Range].[Sales Amount].[All]" dimensionUniqueName="[Range]" displayFolder="" count="2" memberValueDatatype="2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Delivery Status]" caption="Delivery Status" attribute="1" defaultMemberUniqueName="[Range].[Delivery Status].[All]" allUniqueName="[Range].[Delivery Status].[All]" dimensionUniqueName="[Range]" displayFolder="" count="2" memberValueDatatype="130" unbalanced="0">
      <fieldsUsage count="2">
        <fieldUsage x="-1"/>
        <fieldUsage x="0"/>
      </fieldsUsage>
    </cacheHierarchy>
    <cacheHierarchy uniqueName="[Range].[Fulfillment Partner]" caption="Fulfillment Partner" attribute="1" defaultMemberUniqueName="[Range].[Fulfillment Partner].[All]" allUniqueName="[Range].[Fulfillment Partner].[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2" memberValueDatatype="130" unbalanced="0"/>
    <cacheHierarchy uniqueName="[Range].[Delivery Days]" caption="Delivery Days" attribute="1" defaultMemberUniqueName="[Range].[Delivery Days].[All]" allUniqueName="[Range].[Delivery Days].[All]" dimensionUniqueName="[Range]" displayFolder="" count="2" memberValueDatatype="130" unbalanced="0"/>
    <cacheHierarchy uniqueName="[Range].[Delivery Performance]" caption="Delivery Performance" attribute="1" defaultMemberUniqueName="[Range].[Delivery Performance].[All]" allUniqueName="[Range].[Delivery Performance].[All]" dimensionUniqueName="[Range]" displayFolder="" count="2" memberValueDatatype="130" unbalanced="0"/>
    <cacheHierarchy uniqueName="[Range].[Effective Sales]" caption="Effective Sales" attribute="1" defaultMemberUniqueName="[Range].[Effective Sales].[All]" allUniqueName="[Range].[Effective Sales].[All]" dimensionUniqueName="[Range]" displayFolder="" count="2" memberValueDatatype="20" unbalanced="0"/>
    <cacheHierarchy uniqueName="[Range].[Customer Name]" caption="Customer Name" attribute="1" defaultMemberUniqueName="[Range].[Customer Name].[All]" allUniqueName="[Range].[Customer Nam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14"/>
        </ext>
      </extLst>
    </cacheHierarchy>
    <cacheHierarchy uniqueName="[Measures].[Sum of Effective Sales]" caption="Sum of Effective Sales" measure="1" displayFolder="" measureGroup="Range" count="0" hidden="1">
      <extLst>
        <ext xmlns:x15="http://schemas.microsoft.com/office/spreadsheetml/2010/11/main" uri="{B97F6D7D-B522-45F9-BDA1-12C45D357490}">
          <x15:cacheHierarchy aggregatedColumn="18"/>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0"/>
        </ext>
      </extLst>
    </cacheHierarchy>
    <cacheHierarchy uniqueName="[Measures].[Count of Delivery Status]" caption="Count of Delivery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Status]" caption="Count of Order Status"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1.97141111111" backgroundQuery="1" createdVersion="8" refreshedVersion="8" minRefreshableVersion="3" recordCount="0" supportSubquery="1" supportAdvancedDrill="1" xr:uid="{3B1C41B8-4B7D-4931-ABF6-57AE8831DEAD}">
  <cacheSource type="external" connectionId="1"/>
  <cacheFields count="3">
    <cacheField name="[Range].[Region].[Region]" caption="Region" numFmtId="0" hierarchy="7" level="1">
      <sharedItems count="5">
        <s v="Central"/>
        <s v="East"/>
        <s v="North"/>
        <s v="South"/>
        <s v="West"/>
      </sharedItems>
    </cacheField>
    <cacheField name="[Measures].[Sum of Effective Sales]" caption="Sum of Effective Sales" numFmtId="0" hierarchy="23" level="32767"/>
    <cacheField name="[Range].[Delivery Status].[Delivery Status]" caption="Delivery Status" numFmtId="0" hierarchy="12" level="1">
      <sharedItems containsSemiMixedTypes="0" containsNonDate="0" containsString="0"/>
    </cacheField>
  </cacheFields>
  <cacheHierarchies count="2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Delivery Date]" caption="Delivery Date" attribute="1" defaultMemberUniqueName="[Range].[Delivery Date].[All]" allUniqueName="[Range].[Delivery Date].[All]" dimensionUniqueName="[Range]" displayFolder="" count="0" memberValueDatatype="130" unbalanced="0"/>
    <cacheHierarchy uniqueName="[Range].[Cancel Date]" caption="Cancel Date" attribute="1" defaultMemberUniqueName="[Range].[Cancel Date].[All]" allUniqueName="[Range].[Cancel Dat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ale Price/Unit]" caption="Sale Price/Unit" attribute="1" defaultMemberUniqueName="[Range].[Sale Price/Unit].[All]" allUniqueName="[Range].[Sale Price/Uni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Delivery Status]" caption="Delivery Status" attribute="1" defaultMemberUniqueName="[Range].[Delivery Status].[All]" allUniqueName="[Range].[Delivery Status].[All]" dimensionUniqueName="[Range]" displayFolder="" count="2" memberValueDatatype="130" unbalanced="0">
      <fieldsUsage count="2">
        <fieldUsage x="-1"/>
        <fieldUsage x="2"/>
      </fieldsUsage>
    </cacheHierarchy>
    <cacheHierarchy uniqueName="[Range].[Fulfillment Partner]" caption="Fulfillment Partner" attribute="1" defaultMemberUniqueName="[Range].[Fulfillment Partner].[All]" allUniqueName="[Range].[Fulfillment Partner].[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130" unbalanced="0"/>
    <cacheHierarchy uniqueName="[Range].[Delivery Performance]" caption="Delivery Performance" attribute="1" defaultMemberUniqueName="[Range].[Delivery Performance].[All]" allUniqueName="[Range].[Delivery Performance].[All]" dimensionUniqueName="[Range]" displayFolder="" count="0" memberValueDatatype="130" unbalanced="0"/>
    <cacheHierarchy uniqueName="[Range].[Effective Sales]" caption="Effective Sales" attribute="1" defaultMemberUniqueName="[Range].[Effective Sales].[All]" allUniqueName="[Range].[Effective Sales].[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14"/>
        </ext>
      </extLst>
    </cacheHierarchy>
    <cacheHierarchy uniqueName="[Measures].[Sum of Effective Sales]" caption="Sum of Effective Sales"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0"/>
        </ext>
      </extLst>
    </cacheHierarchy>
    <cacheHierarchy uniqueName="[Measures].[Count of Delivery Status]" caption="Count of Delivery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1.971411689818" backgroundQuery="1" createdVersion="8" refreshedVersion="8" minRefreshableVersion="3" recordCount="0" supportSubquery="1" supportAdvancedDrill="1" xr:uid="{7283917B-7799-4416-A631-215F58ABFD2B}">
  <cacheSource type="external" connectionId="1"/>
  <cacheFields count="3">
    <cacheField name="[Measures].[Sum of Effective Sales]" caption="Sum of Effective Sales" numFmtId="0" hierarchy="23" level="32767"/>
    <cacheField name="[Range].[Fulfillment Partner].[Fulfillment Partner]" caption="Fulfillment Partner" numFmtId="0" hierarchy="13" level="1">
      <sharedItems count="5">
        <s v="Amazon Logistics"/>
        <s v="DHL"/>
        <s v="FedEx"/>
        <s v="UPS"/>
        <s v="USPS"/>
      </sharedItems>
    </cacheField>
    <cacheField name="[Range].[Delivery Status].[Delivery Status]" caption="Delivery Status" numFmtId="0" hierarchy="12" level="1">
      <sharedItems containsSemiMixedTypes="0" containsNonDate="0" containsString="0"/>
    </cacheField>
  </cacheFields>
  <cacheHierarchies count="2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Delivery Date]" caption="Delivery Date" attribute="1" defaultMemberUniqueName="[Range].[Delivery Date].[All]" allUniqueName="[Range].[Delivery Date].[All]" dimensionUniqueName="[Range]" displayFolder="" count="0" memberValueDatatype="130" unbalanced="0"/>
    <cacheHierarchy uniqueName="[Range].[Cancel Date]" caption="Cancel Date" attribute="1" defaultMemberUniqueName="[Range].[Cancel Date].[All]" allUniqueName="[Range].[Cancel Dat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Sale Price/Unit]" caption="Sale Price/Unit" attribute="1" defaultMemberUniqueName="[Range].[Sale Price/Unit].[All]" allUniqueName="[Range].[Sale Price/Uni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Delivery Status]" caption="Delivery Status" attribute="1" defaultMemberUniqueName="[Range].[Delivery Status].[All]" allUniqueName="[Range].[Delivery Status].[All]" dimensionUniqueName="[Range]" displayFolder="" count="2" memberValueDatatype="130" unbalanced="0">
      <fieldsUsage count="2">
        <fieldUsage x="-1"/>
        <fieldUsage x="2"/>
      </fieldsUsage>
    </cacheHierarchy>
    <cacheHierarchy uniqueName="[Range].[Fulfillment Partner]" caption="Fulfillment Partner" attribute="1" defaultMemberUniqueName="[Range].[Fulfillment Partner].[All]" allUniqueName="[Range].[Fulfillment Partner].[All]" dimensionUniqueName="[Range]" displayFolder="" count="2" memberValueDatatype="130" unbalanced="0">
      <fieldsUsage count="2">
        <fieldUsage x="-1"/>
        <fieldUsage x="1"/>
      </fieldsUsage>
    </cacheHierarchy>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130" unbalanced="0"/>
    <cacheHierarchy uniqueName="[Range].[Delivery Performance]" caption="Delivery Performance" attribute="1" defaultMemberUniqueName="[Range].[Delivery Performance].[All]" allUniqueName="[Range].[Delivery Performance].[All]" dimensionUniqueName="[Range]" displayFolder="" count="0" memberValueDatatype="130" unbalanced="0"/>
    <cacheHierarchy uniqueName="[Range].[Effective Sales]" caption="Effective Sales" attribute="1" defaultMemberUniqueName="[Range].[Effective Sales].[All]" allUniqueName="[Range].[Effective Sales].[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14"/>
        </ext>
      </extLst>
    </cacheHierarchy>
    <cacheHierarchy uniqueName="[Measures].[Sum of Effective Sales]" caption="Sum of Effective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0"/>
        </ext>
      </extLst>
    </cacheHierarchy>
    <cacheHierarchy uniqueName="[Measures].[Count of Delivery Status]" caption="Count of Delivery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1.971412037034" backgroundQuery="1" createdVersion="8" refreshedVersion="8" minRefreshableVersion="3" recordCount="0" supportSubquery="1" supportAdvancedDrill="1" xr:uid="{52F4878D-FA22-4B28-8540-7CB2D2657A0C}">
  <cacheSource type="external" connectionId="1"/>
  <cacheFields count="3">
    <cacheField name="[Measures].[Sum of Effective Sales]" caption="Sum of Effective Sales" numFmtId="0" hierarchy="23" level="32767"/>
    <cacheField name="[Range].[Month].[Month]" caption="Month" numFmtId="0" hierarchy="2" level="1">
      <sharedItems count="12">
        <s v="Apr"/>
        <s v="Aug"/>
        <s v="Dec"/>
        <s v="Feb"/>
        <s v="Jan"/>
        <s v="Jul"/>
        <s v="Jun"/>
        <s v="Mar"/>
        <s v="May"/>
        <s v="Nov"/>
        <s v="Oct"/>
        <s v="Sep"/>
      </sharedItems>
    </cacheField>
    <cacheField name="[Range].[Delivery Status].[Delivery Status]" caption="Delivery Status" numFmtId="0" hierarchy="12" level="1">
      <sharedItems containsSemiMixedTypes="0" containsNonDate="0" containsString="0"/>
    </cacheField>
  </cacheFields>
  <cacheHierarchies count="27">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defaultMemberUniqueName="[Range].[Order Date].[All]" allUniqueName="[Range].[Order Date].[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Delivery Date]" caption="Delivery Date" attribute="1" defaultMemberUniqueName="[Range].[Delivery Date].[All]" allUniqueName="[Range].[Delivery Date].[All]" dimensionUniqueName="[Range]" displayFolder="" count="2" memberValueDatatype="130" unbalanced="0"/>
    <cacheHierarchy uniqueName="[Range].[Cancel Date]" caption="Cancel Date" attribute="1" defaultMemberUniqueName="[Range].[Cancel Date].[All]" allUniqueName="[Range].[Cancel Dat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ale Price/Unit]" caption="Sale Price/Unit" attribute="1" defaultMemberUniqueName="[Range].[Sale Price/Unit].[All]" allUniqueName="[Range].[Sale Price/Unit].[All]" dimensionUniqueName="[Range]" displayFolder="" count="2" memberValueDatatype="20" unbalanced="0"/>
    <cacheHierarchy uniqueName="[Range].[Quantity]" caption="Quantity" attribute="1" defaultMemberUniqueName="[Range].[Quantity].[All]" allUniqueName="[Range].[Quantity].[All]" dimensionUniqueName="[Range]" displayFolder="" count="2" memberValueDatatype="20" unbalanced="0"/>
    <cacheHierarchy uniqueName="[Range].[Sales Amount]" caption="Sales Amount" attribute="1" defaultMemberUniqueName="[Range].[Sales Amount].[All]" allUniqueName="[Range].[Sales Amount].[All]" dimensionUniqueName="[Range]" displayFolder="" count="2" memberValueDatatype="2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Delivery Status]" caption="Delivery Status" attribute="1" defaultMemberUniqueName="[Range].[Delivery Status].[All]" allUniqueName="[Range].[Delivery Status].[All]" dimensionUniqueName="[Range]" displayFolder="" count="2" memberValueDatatype="130" unbalanced="0">
      <fieldsUsage count="2">
        <fieldUsage x="-1"/>
        <fieldUsage x="2"/>
      </fieldsUsage>
    </cacheHierarchy>
    <cacheHierarchy uniqueName="[Range].[Fulfillment Partner]" caption="Fulfillment Partner" attribute="1" defaultMemberUniqueName="[Range].[Fulfillment Partner].[All]" allUniqueName="[Range].[Fulfillment Partner].[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2" memberValueDatatype="130" unbalanced="0"/>
    <cacheHierarchy uniqueName="[Range].[Delivery Days]" caption="Delivery Days" attribute="1" defaultMemberUniqueName="[Range].[Delivery Days].[All]" allUniqueName="[Range].[Delivery Days].[All]" dimensionUniqueName="[Range]" displayFolder="" count="2" memberValueDatatype="130" unbalanced="0"/>
    <cacheHierarchy uniqueName="[Range].[Delivery Performance]" caption="Delivery Performance" attribute="1" defaultMemberUniqueName="[Range].[Delivery Performance].[All]" allUniqueName="[Range].[Delivery Performance].[All]" dimensionUniqueName="[Range]" displayFolder="" count="2" memberValueDatatype="130" unbalanced="0"/>
    <cacheHierarchy uniqueName="[Range].[Effective Sales]" caption="Effective Sales" attribute="1" defaultMemberUniqueName="[Range].[Effective Sales].[All]" allUniqueName="[Range].[Effective Sales].[All]" dimensionUniqueName="[Range]" displayFolder="" count="2" memberValueDatatype="20" unbalanced="0"/>
    <cacheHierarchy uniqueName="[Range].[Customer Name]" caption="Customer Name" attribute="1" defaultMemberUniqueName="[Range].[Customer Name].[All]" allUniqueName="[Range].[Customer Nam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14"/>
        </ext>
      </extLst>
    </cacheHierarchy>
    <cacheHierarchy uniqueName="[Measures].[Sum of Effective Sales]" caption="Sum of Effective Sales"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0"/>
        </ext>
      </extLst>
    </cacheHierarchy>
    <cacheHierarchy uniqueName="[Measures].[Count of Delivery Status]" caption="Count of Delivery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0.790476851849" backgroundQuery="1" createdVersion="3" refreshedVersion="8" minRefreshableVersion="3" recordCount="0" supportSubquery="1" supportAdvancedDrill="1" xr:uid="{E7A408A4-1330-4B28-B239-210F8BE2A276}">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Delivery Date]" caption="Delivery Date" attribute="1" defaultMemberUniqueName="[Range].[Delivery Date].[All]" allUniqueName="[Range].[Delivery Date].[All]" dimensionUniqueName="[Range]" displayFolder="" count="0" memberValueDatatype="130" unbalanced="0"/>
    <cacheHierarchy uniqueName="[Range].[Cancel Date]" caption="Cancel Date" attribute="1" defaultMemberUniqueName="[Range].[Cancel Date].[All]" allUniqueName="[Range].[Cancel Dat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Sale Price/Unit]" caption="Sale Price/Unit" attribute="1" defaultMemberUniqueName="[Range].[Sale Price/Unit].[All]" allUniqueName="[Range].[Sale Price/Uni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Delivery Status]" caption="Delivery Status" attribute="1" defaultMemberUniqueName="[Range].[Delivery Status].[All]" allUniqueName="[Range].[Delivery Status].[All]" dimensionUniqueName="[Range]" displayFolder="" count="2" memberValueDatatype="130" unbalanced="0"/>
    <cacheHierarchy uniqueName="[Range].[Fulfillment Partner]" caption="Fulfillment Partner" attribute="1" defaultMemberUniqueName="[Range].[Fulfillment Partner].[All]" allUniqueName="[Range].[Fulfillment Partner].[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Delivery Days]" caption="Delivery Days" attribute="1" defaultMemberUniqueName="[Range].[Delivery Days].[All]" allUniqueName="[Range].[Delivery Days].[All]" dimensionUniqueName="[Range]" displayFolder="" count="0" memberValueDatatype="130" unbalanced="0"/>
    <cacheHierarchy uniqueName="[Range].[Delivery Performance]" caption="Delivery Performance" attribute="1" defaultMemberUniqueName="[Range].[Delivery Performance].[All]" allUniqueName="[Range].[Delivery Performance].[All]" dimensionUniqueName="[Range]" displayFolder="" count="0" memberValueDatatype="130" unbalanced="0"/>
    <cacheHierarchy uniqueName="[Range].[Effective Sales]" caption="Effective Sales" attribute="1" defaultMemberUniqueName="[Range].[Effective Sales].[All]" allUniqueName="[Range].[Effective Sales].[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tegory]" caption="Count of Product Category" measure="1" displayFolder="" measureGroup="Range" count="0" hidden="1">
      <extLst>
        <ext xmlns:x15="http://schemas.microsoft.com/office/spreadsheetml/2010/11/main" uri="{B97F6D7D-B522-45F9-BDA1-12C45D357490}">
          <x15:cacheHierarchy aggregatedColumn="14"/>
        </ext>
      </extLst>
    </cacheHierarchy>
    <cacheHierarchy uniqueName="[Measures].[Sum of Effective Sales]" caption="Sum of Effective Sales" measure="1" displayFolder="" measureGroup="Range" count="0" hidden="1">
      <extLst>
        <ext xmlns:x15="http://schemas.microsoft.com/office/spreadsheetml/2010/11/main" uri="{B97F6D7D-B522-45F9-BDA1-12C45D357490}">
          <x15:cacheHierarchy aggregatedColumn="18"/>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10"/>
        </ext>
      </extLst>
    </cacheHierarchy>
    <cacheHierarchy uniqueName="[Measures].[Count of Delivery Status]" caption="Count of Delivery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71453394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12/31/2023"/>
    <m/>
    <s v="1/2/2024"/>
    <s v="CUST021"/>
    <s v="PROD012"/>
    <x v="0"/>
    <n v="44"/>
    <n v="1"/>
    <n v="44"/>
    <x v="0"/>
    <x v="0"/>
    <x v="0"/>
    <x v="0"/>
    <x v="0"/>
    <x v="0"/>
    <x v="0"/>
    <n v="0"/>
    <s v="Zoe Mitchell"/>
  </r>
  <r>
    <x v="1"/>
    <s v="2/22/2023"/>
    <s v="2/24/2023"/>
    <m/>
    <s v="CUST029"/>
    <s v="PROD018"/>
    <x v="1"/>
    <n v="96"/>
    <n v="4"/>
    <n v="384"/>
    <x v="1"/>
    <x v="1"/>
    <x v="0"/>
    <x v="1"/>
    <x v="1"/>
    <x v="1"/>
    <x v="1"/>
    <n v="384"/>
    <s v="Ava White"/>
  </r>
  <r>
    <x v="2"/>
    <s v="10/11/2023"/>
    <m/>
    <m/>
    <s v="CUST021"/>
    <s v="PROD013"/>
    <x v="2"/>
    <n v="194"/>
    <n v="4"/>
    <n v="776"/>
    <x v="1"/>
    <x v="2"/>
    <x v="1"/>
    <x v="0"/>
    <x v="2"/>
    <x v="0"/>
    <x v="0"/>
    <n v="0"/>
    <s v="Zoe Mitchell"/>
  </r>
  <r>
    <x v="3"/>
    <s v="5/5/2023"/>
    <m/>
    <s v="5/11/2023"/>
    <s v="CUST044"/>
    <s v="PROD013"/>
    <x v="0"/>
    <n v="196"/>
    <n v="3"/>
    <n v="196"/>
    <x v="2"/>
    <x v="0"/>
    <x v="2"/>
    <x v="0"/>
    <x v="0"/>
    <x v="0"/>
    <x v="0"/>
    <n v="0"/>
    <s v="Grace Ward"/>
  </r>
  <r>
    <x v="4"/>
    <s v="2/2/2023"/>
    <s v="2/5/2023"/>
    <m/>
    <s v="CUST027"/>
    <s v="PROD010"/>
    <x v="0"/>
    <n v="59"/>
    <n v="1"/>
    <n v="59"/>
    <x v="2"/>
    <x v="1"/>
    <x v="3"/>
    <x v="2"/>
    <x v="1"/>
    <x v="2"/>
    <x v="2"/>
    <n v="59"/>
    <s v="Hazel Brooks"/>
  </r>
  <r>
    <x v="5"/>
    <s v="11/1/2023"/>
    <m/>
    <s v="11/2/2023"/>
    <s v="CUST009"/>
    <s v="PROD010"/>
    <x v="0"/>
    <n v="58"/>
    <n v="4"/>
    <n v="58"/>
    <x v="3"/>
    <x v="0"/>
    <x v="0"/>
    <x v="2"/>
    <x v="0"/>
    <x v="0"/>
    <x v="0"/>
    <n v="0"/>
    <s v="Jackson Allen"/>
  </r>
  <r>
    <x v="6"/>
    <s v="8/14/2023"/>
    <m/>
    <s v="8/18/2023"/>
    <s v="CUST042"/>
    <s v="PROD020"/>
    <x v="3"/>
    <n v="105"/>
    <n v="3"/>
    <n v="105"/>
    <x v="4"/>
    <x v="0"/>
    <x v="0"/>
    <x v="3"/>
    <x v="0"/>
    <x v="0"/>
    <x v="0"/>
    <n v="0"/>
    <s v="Noah Wilson"/>
  </r>
  <r>
    <x v="7"/>
    <s v="4/1/2023"/>
    <m/>
    <s v="4/6/2023"/>
    <s v="CUST019"/>
    <s v="PROD021"/>
    <x v="4"/>
    <n v="37"/>
    <n v="5"/>
    <n v="37"/>
    <x v="2"/>
    <x v="0"/>
    <x v="0"/>
    <x v="0"/>
    <x v="0"/>
    <x v="0"/>
    <x v="0"/>
    <n v="0"/>
    <s v="Ava Robinson"/>
  </r>
  <r>
    <x v="8"/>
    <s v="7/21/2023"/>
    <m/>
    <m/>
    <s v="CUST013"/>
    <s v="PROD019"/>
    <x v="3"/>
    <n v="44"/>
    <n v="2"/>
    <n v="88"/>
    <x v="1"/>
    <x v="2"/>
    <x v="3"/>
    <x v="2"/>
    <x v="2"/>
    <x v="0"/>
    <x v="0"/>
    <n v="0"/>
    <s v="Olivia Martinez"/>
  </r>
  <r>
    <x v="9"/>
    <s v="12/29/2023"/>
    <m/>
    <m/>
    <s v="CUST019"/>
    <s v="PROD003"/>
    <x v="2"/>
    <n v="141"/>
    <n v="4"/>
    <n v="564"/>
    <x v="4"/>
    <x v="2"/>
    <x v="0"/>
    <x v="0"/>
    <x v="2"/>
    <x v="0"/>
    <x v="0"/>
    <n v="0"/>
    <s v="Ava Robinson"/>
  </r>
  <r>
    <x v="10"/>
    <s v="5/4/2023"/>
    <m/>
    <s v="5/8/2023"/>
    <s v="CUST046"/>
    <s v="PROD014"/>
    <x v="2"/>
    <n v="249"/>
    <n v="1"/>
    <n v="249"/>
    <x v="3"/>
    <x v="0"/>
    <x v="1"/>
    <x v="3"/>
    <x v="0"/>
    <x v="0"/>
    <x v="0"/>
    <n v="0"/>
    <s v="Emily Johnson"/>
  </r>
  <r>
    <x v="11"/>
    <s v="7/25/2023"/>
    <m/>
    <m/>
    <s v="CUST045"/>
    <s v="PROD014"/>
    <x v="3"/>
    <n v="247"/>
    <n v="3"/>
    <n v="741"/>
    <x v="3"/>
    <x v="2"/>
    <x v="4"/>
    <x v="3"/>
    <x v="2"/>
    <x v="0"/>
    <x v="0"/>
    <n v="0"/>
    <s v="Emily Johnson"/>
  </r>
  <r>
    <x v="12"/>
    <s v="2/25/2023"/>
    <m/>
    <s v="2/28/2023"/>
    <s v="CUST023"/>
    <s v="PROD006"/>
    <x v="3"/>
    <n v="96"/>
    <n v="1"/>
    <n v="96"/>
    <x v="0"/>
    <x v="0"/>
    <x v="3"/>
    <x v="2"/>
    <x v="0"/>
    <x v="0"/>
    <x v="0"/>
    <n v="0"/>
    <s v="Charlotte Reed"/>
  </r>
  <r>
    <x v="13"/>
    <s v="2/24/2023"/>
    <m/>
    <s v="2/25/2023"/>
    <s v="CUST033"/>
    <s v="PROD017"/>
    <x v="4"/>
    <n v="74"/>
    <n v="5"/>
    <n v="74"/>
    <x v="0"/>
    <x v="0"/>
    <x v="3"/>
    <x v="3"/>
    <x v="0"/>
    <x v="0"/>
    <x v="0"/>
    <n v="0"/>
    <s v="Hazel Rivera"/>
  </r>
  <r>
    <x v="14"/>
    <s v="8/26/2023"/>
    <m/>
    <s v="9/2/2023"/>
    <s v="CUST033"/>
    <s v="PROD005"/>
    <x v="2"/>
    <n v="27"/>
    <n v="1"/>
    <n v="27"/>
    <x v="1"/>
    <x v="0"/>
    <x v="3"/>
    <x v="2"/>
    <x v="0"/>
    <x v="0"/>
    <x v="0"/>
    <n v="0"/>
    <s v="Hazel Rivera"/>
  </r>
  <r>
    <x v="15"/>
    <s v="2/13/2023"/>
    <m/>
    <m/>
    <s v="CUST047"/>
    <s v="PROD005"/>
    <x v="2"/>
    <n v="27"/>
    <n v="3"/>
    <n v="81"/>
    <x v="4"/>
    <x v="2"/>
    <x v="3"/>
    <x v="2"/>
    <x v="2"/>
    <x v="0"/>
    <x v="0"/>
    <n v="0"/>
    <s v="Scarlett Murphy"/>
  </r>
  <r>
    <x v="16"/>
    <s v="6/28/2023"/>
    <s v="7/1/2023"/>
    <m/>
    <s v="CUST045"/>
    <s v="PROD015"/>
    <x v="1"/>
    <n v="21"/>
    <n v="3"/>
    <n v="63"/>
    <x v="1"/>
    <x v="1"/>
    <x v="0"/>
    <x v="4"/>
    <x v="1"/>
    <x v="2"/>
    <x v="2"/>
    <n v="63"/>
    <s v="Emily Johnson"/>
  </r>
  <r>
    <x v="17"/>
    <s v="11/28/2023"/>
    <m/>
    <m/>
    <s v="CUST011"/>
    <s v="PROD008"/>
    <x v="4"/>
    <n v="70"/>
    <n v="5"/>
    <n v="350"/>
    <x v="2"/>
    <x v="2"/>
    <x v="3"/>
    <x v="4"/>
    <x v="2"/>
    <x v="0"/>
    <x v="0"/>
    <n v="0"/>
    <s v="Mason Hall"/>
  </r>
  <r>
    <x v="18"/>
    <s v="8/25/2023"/>
    <m/>
    <m/>
    <s v="CUST041"/>
    <s v="PROD006"/>
    <x v="2"/>
    <n v="94"/>
    <n v="4"/>
    <n v="376"/>
    <x v="1"/>
    <x v="2"/>
    <x v="1"/>
    <x v="2"/>
    <x v="2"/>
    <x v="0"/>
    <x v="0"/>
    <n v="0"/>
    <s v="Jacob Price"/>
  </r>
  <r>
    <x v="19"/>
    <s v="4/12/2023"/>
    <m/>
    <m/>
    <s v="CUST025"/>
    <s v="PROD001"/>
    <x v="0"/>
    <n v="813"/>
    <n v="2"/>
    <n v="1626"/>
    <x v="1"/>
    <x v="2"/>
    <x v="4"/>
    <x v="3"/>
    <x v="2"/>
    <x v="0"/>
    <x v="0"/>
    <n v="0"/>
    <s v="Emma King"/>
  </r>
  <r>
    <x v="20"/>
    <s v="10/2/2023"/>
    <m/>
    <m/>
    <s v="CUST013"/>
    <s v="PROD015"/>
    <x v="3"/>
    <n v="21"/>
    <n v="4"/>
    <n v="84"/>
    <x v="2"/>
    <x v="2"/>
    <x v="3"/>
    <x v="4"/>
    <x v="2"/>
    <x v="0"/>
    <x v="0"/>
    <n v="0"/>
    <s v="Olivia Martinez"/>
  </r>
  <r>
    <x v="21"/>
    <s v="11/9/2023"/>
    <m/>
    <m/>
    <s v="CUST023"/>
    <s v="PROD012"/>
    <x v="4"/>
    <n v="46"/>
    <n v="5"/>
    <n v="230"/>
    <x v="2"/>
    <x v="2"/>
    <x v="1"/>
    <x v="0"/>
    <x v="2"/>
    <x v="0"/>
    <x v="0"/>
    <n v="0"/>
    <s v="Charlotte Reed"/>
  </r>
  <r>
    <x v="22"/>
    <s v="2/13/2023"/>
    <m/>
    <s v="2/14/2023"/>
    <s v="CUST016"/>
    <s v="PROD010"/>
    <x v="4"/>
    <n v="58"/>
    <n v="3"/>
    <n v="58"/>
    <x v="3"/>
    <x v="0"/>
    <x v="3"/>
    <x v="2"/>
    <x v="0"/>
    <x v="0"/>
    <x v="0"/>
    <n v="0"/>
    <s v="Elijah Lewis"/>
  </r>
  <r>
    <x v="23"/>
    <s v="11/2/2023"/>
    <s v="11/5/2023"/>
    <m/>
    <s v="CUST028"/>
    <s v="PROD006"/>
    <x v="4"/>
    <n v="96"/>
    <n v="5"/>
    <n v="480"/>
    <x v="3"/>
    <x v="1"/>
    <x v="3"/>
    <x v="2"/>
    <x v="1"/>
    <x v="2"/>
    <x v="2"/>
    <n v="480"/>
    <s v="Lily Bennett"/>
  </r>
  <r>
    <x v="24"/>
    <s v="5/28/2023"/>
    <s v="5/30/2023"/>
    <m/>
    <s v="CUST040"/>
    <s v="PROD002"/>
    <x v="2"/>
    <n v="43"/>
    <n v="1"/>
    <n v="43"/>
    <x v="4"/>
    <x v="1"/>
    <x v="3"/>
    <x v="1"/>
    <x v="1"/>
    <x v="1"/>
    <x v="1"/>
    <n v="43"/>
    <s v="Benjamin Clark"/>
  </r>
  <r>
    <x v="25"/>
    <s v="10/15/2023"/>
    <s v="10/21/2023"/>
    <m/>
    <s v="CUST027"/>
    <s v="PROD022"/>
    <x v="2"/>
    <n v="64"/>
    <n v="4"/>
    <n v="256"/>
    <x v="4"/>
    <x v="1"/>
    <x v="1"/>
    <x v="2"/>
    <x v="1"/>
    <x v="3"/>
    <x v="2"/>
    <n v="256"/>
    <s v="Hazel Brooks"/>
  </r>
  <r>
    <x v="26"/>
    <s v="1/16/2023"/>
    <m/>
    <m/>
    <s v="CUST018"/>
    <s v="PROD008"/>
    <x v="2"/>
    <n v="70"/>
    <n v="2"/>
    <n v="140"/>
    <x v="3"/>
    <x v="2"/>
    <x v="3"/>
    <x v="4"/>
    <x v="2"/>
    <x v="0"/>
    <x v="0"/>
    <n v="0"/>
    <s v="Grace Scott"/>
  </r>
  <r>
    <x v="27"/>
    <s v="10/9/2023"/>
    <m/>
    <m/>
    <s v="CUST018"/>
    <s v="PROD018"/>
    <x v="3"/>
    <n v="97"/>
    <n v="3"/>
    <n v="291"/>
    <x v="1"/>
    <x v="2"/>
    <x v="3"/>
    <x v="1"/>
    <x v="2"/>
    <x v="0"/>
    <x v="0"/>
    <n v="0"/>
    <s v="Grace Scott"/>
  </r>
  <r>
    <x v="28"/>
    <s v="10/7/2023"/>
    <m/>
    <s v="10/10/2023"/>
    <s v="CUST007"/>
    <s v="PROD021"/>
    <x v="1"/>
    <n v="37"/>
    <n v="3"/>
    <n v="37"/>
    <x v="0"/>
    <x v="0"/>
    <x v="0"/>
    <x v="0"/>
    <x v="0"/>
    <x v="0"/>
    <x v="0"/>
    <n v="0"/>
    <s v="Liam Walker"/>
  </r>
  <r>
    <x v="29"/>
    <s v="2/14/2023"/>
    <m/>
    <m/>
    <s v="CUST008"/>
    <s v="PROD008"/>
    <x v="0"/>
    <n v="69"/>
    <n v="5"/>
    <n v="345"/>
    <x v="3"/>
    <x v="2"/>
    <x v="3"/>
    <x v="4"/>
    <x v="2"/>
    <x v="0"/>
    <x v="0"/>
    <n v="0"/>
    <s v="Harper Young"/>
  </r>
  <r>
    <x v="30"/>
    <s v="3/26/2023"/>
    <m/>
    <m/>
    <s v="CUST014"/>
    <s v="PROD002"/>
    <x v="0"/>
    <n v="42"/>
    <n v="5"/>
    <n v="210"/>
    <x v="3"/>
    <x v="2"/>
    <x v="2"/>
    <x v="1"/>
    <x v="2"/>
    <x v="0"/>
    <x v="0"/>
    <n v="0"/>
    <s v="Harper Young"/>
  </r>
  <r>
    <x v="31"/>
    <s v="6/15/2023"/>
    <m/>
    <s v="6/22/2023"/>
    <s v="CUST037"/>
    <s v="PROD009"/>
    <x v="1"/>
    <n v="11"/>
    <n v="5"/>
    <n v="11"/>
    <x v="4"/>
    <x v="0"/>
    <x v="4"/>
    <x v="4"/>
    <x v="0"/>
    <x v="0"/>
    <x v="0"/>
    <n v="0"/>
    <s v="Emily Johnson"/>
  </r>
  <r>
    <x v="32"/>
    <s v="5/22/2023"/>
    <s v="5/23/2023"/>
    <m/>
    <s v="CUST016"/>
    <s v="PROD005"/>
    <x v="2"/>
    <n v="27"/>
    <n v="2"/>
    <n v="54"/>
    <x v="0"/>
    <x v="1"/>
    <x v="1"/>
    <x v="2"/>
    <x v="1"/>
    <x v="4"/>
    <x v="1"/>
    <n v="54"/>
    <s v="Elijah Lewis"/>
  </r>
  <r>
    <x v="33"/>
    <s v="11/20/2023"/>
    <m/>
    <m/>
    <s v="CUST025"/>
    <s v="PROD015"/>
    <x v="2"/>
    <n v="21"/>
    <n v="1"/>
    <n v="21"/>
    <x v="3"/>
    <x v="2"/>
    <x v="0"/>
    <x v="4"/>
    <x v="2"/>
    <x v="0"/>
    <x v="0"/>
    <n v="0"/>
    <s v="Emma King"/>
  </r>
  <r>
    <x v="34"/>
    <s v="12/22/2023"/>
    <s v="12/26/2023"/>
    <m/>
    <s v="CUST032"/>
    <s v="PROD011"/>
    <x v="2"/>
    <n v="172"/>
    <n v="1"/>
    <n v="172"/>
    <x v="2"/>
    <x v="1"/>
    <x v="1"/>
    <x v="3"/>
    <x v="1"/>
    <x v="5"/>
    <x v="2"/>
    <n v="172"/>
    <s v="Luke Gray"/>
  </r>
  <r>
    <x v="35"/>
    <s v="7/23/2023"/>
    <m/>
    <m/>
    <s v="CUST014"/>
    <s v="PROD016"/>
    <x v="0"/>
    <n v="212"/>
    <n v="3"/>
    <n v="636"/>
    <x v="3"/>
    <x v="2"/>
    <x v="2"/>
    <x v="0"/>
    <x v="2"/>
    <x v="0"/>
    <x v="0"/>
    <n v="0"/>
    <s v="Harper Young"/>
  </r>
  <r>
    <x v="36"/>
    <s v="10/17/2023"/>
    <s v="10/22/2023"/>
    <m/>
    <s v="CUST044"/>
    <s v="PROD002"/>
    <x v="1"/>
    <n v="41"/>
    <n v="4"/>
    <n v="164"/>
    <x v="1"/>
    <x v="1"/>
    <x v="3"/>
    <x v="1"/>
    <x v="1"/>
    <x v="6"/>
    <x v="2"/>
    <n v="164"/>
    <s v="Grace Ward"/>
  </r>
  <r>
    <x v="37"/>
    <s v="8/22/2023"/>
    <m/>
    <s v="8/24/2023"/>
    <s v="CUST028"/>
    <s v="PROD007"/>
    <x v="0"/>
    <n v="32"/>
    <n v="2"/>
    <n v="32"/>
    <x v="4"/>
    <x v="0"/>
    <x v="4"/>
    <x v="1"/>
    <x v="0"/>
    <x v="0"/>
    <x v="0"/>
    <n v="0"/>
    <s v="Lily Bennett"/>
  </r>
  <r>
    <x v="38"/>
    <s v="12/2/2023"/>
    <m/>
    <m/>
    <s v="CUST024"/>
    <s v="PROD022"/>
    <x v="1"/>
    <n v="66"/>
    <n v="2"/>
    <n v="132"/>
    <x v="0"/>
    <x v="2"/>
    <x v="0"/>
    <x v="2"/>
    <x v="2"/>
    <x v="0"/>
    <x v="0"/>
    <n v="0"/>
    <s v="Scarlett Murphy"/>
  </r>
  <r>
    <x v="39"/>
    <s v="12/25/2023"/>
    <m/>
    <m/>
    <s v="CUST006"/>
    <s v="PROD004"/>
    <x v="1"/>
    <n v="62"/>
    <n v="4"/>
    <n v="248"/>
    <x v="4"/>
    <x v="2"/>
    <x v="2"/>
    <x v="1"/>
    <x v="2"/>
    <x v="0"/>
    <x v="0"/>
    <n v="0"/>
    <s v="Ava Robinson"/>
  </r>
  <r>
    <x v="40"/>
    <s v="9/23/2023"/>
    <s v="9/30/2023"/>
    <m/>
    <s v="CUST001"/>
    <s v="PROD011"/>
    <x v="4"/>
    <n v="173"/>
    <n v="4"/>
    <n v="692"/>
    <x v="0"/>
    <x v="1"/>
    <x v="2"/>
    <x v="3"/>
    <x v="1"/>
    <x v="7"/>
    <x v="2"/>
    <n v="692"/>
    <s v="James Miller"/>
  </r>
  <r>
    <x v="41"/>
    <s v="7/16/2023"/>
    <s v="7/18/2023"/>
    <m/>
    <s v="CUST007"/>
    <s v="PROD004"/>
    <x v="4"/>
    <n v="63"/>
    <n v="3"/>
    <n v="189"/>
    <x v="0"/>
    <x v="1"/>
    <x v="2"/>
    <x v="1"/>
    <x v="1"/>
    <x v="1"/>
    <x v="1"/>
    <n v="189"/>
    <s v="Liam Walker"/>
  </r>
  <r>
    <x v="42"/>
    <s v="2/5/2023"/>
    <m/>
    <s v="2/11/2023"/>
    <s v="CUST040"/>
    <s v="PROD021"/>
    <x v="4"/>
    <n v="36"/>
    <n v="3"/>
    <n v="36"/>
    <x v="4"/>
    <x v="0"/>
    <x v="1"/>
    <x v="0"/>
    <x v="0"/>
    <x v="0"/>
    <x v="0"/>
    <n v="0"/>
    <s v="Benjamin Clark"/>
  </r>
  <r>
    <x v="43"/>
    <s v="12/18/2023"/>
    <m/>
    <s v="12/23/2023"/>
    <s v="CUST006"/>
    <s v="PROD004"/>
    <x v="3"/>
    <n v="62"/>
    <n v="1"/>
    <n v="62"/>
    <x v="0"/>
    <x v="0"/>
    <x v="3"/>
    <x v="1"/>
    <x v="0"/>
    <x v="0"/>
    <x v="0"/>
    <n v="0"/>
    <s v="Ava Robinson"/>
  </r>
  <r>
    <x v="44"/>
    <s v="6/11/2023"/>
    <m/>
    <s v="6/14/2023"/>
    <s v="CUST042"/>
    <s v="PROD003"/>
    <x v="3"/>
    <n v="137"/>
    <n v="5"/>
    <n v="137"/>
    <x v="3"/>
    <x v="0"/>
    <x v="4"/>
    <x v="0"/>
    <x v="0"/>
    <x v="0"/>
    <x v="0"/>
    <n v="0"/>
    <s v="Noah Wilson"/>
  </r>
  <r>
    <x v="45"/>
    <s v="12/4/2023"/>
    <s v="12/8/2023"/>
    <m/>
    <s v="CUST039"/>
    <s v="PROD017"/>
    <x v="0"/>
    <n v="73"/>
    <n v="4"/>
    <n v="292"/>
    <x v="1"/>
    <x v="1"/>
    <x v="3"/>
    <x v="3"/>
    <x v="1"/>
    <x v="5"/>
    <x v="2"/>
    <n v="292"/>
    <s v="Logan Ramirez"/>
  </r>
  <r>
    <x v="46"/>
    <s v="7/17/2023"/>
    <s v="7/19/2023"/>
    <m/>
    <s v="CUST041"/>
    <s v="PROD020"/>
    <x v="0"/>
    <n v="104"/>
    <n v="1"/>
    <n v="104"/>
    <x v="2"/>
    <x v="1"/>
    <x v="3"/>
    <x v="3"/>
    <x v="1"/>
    <x v="1"/>
    <x v="1"/>
    <n v="104"/>
    <s v="Jacob Price"/>
  </r>
  <r>
    <x v="47"/>
    <s v="10/19/2023"/>
    <s v="10/24/2023"/>
    <m/>
    <s v="CUST044"/>
    <s v="PROD006"/>
    <x v="1"/>
    <n v="97"/>
    <n v="1"/>
    <n v="97"/>
    <x v="3"/>
    <x v="1"/>
    <x v="4"/>
    <x v="2"/>
    <x v="1"/>
    <x v="6"/>
    <x v="2"/>
    <n v="97"/>
    <s v="Grace Ward"/>
  </r>
  <r>
    <x v="48"/>
    <s v="5/15/2023"/>
    <m/>
    <m/>
    <s v="CUST026"/>
    <s v="PROD017"/>
    <x v="2"/>
    <n v="73"/>
    <n v="5"/>
    <n v="365"/>
    <x v="0"/>
    <x v="2"/>
    <x v="3"/>
    <x v="3"/>
    <x v="2"/>
    <x v="0"/>
    <x v="0"/>
    <n v="0"/>
    <s v="Zoe Mitchell"/>
  </r>
  <r>
    <x v="49"/>
    <s v="2/12/2023"/>
    <s v="2/19/2023"/>
    <m/>
    <s v="CUST040"/>
    <s v="PROD005"/>
    <x v="1"/>
    <n v="27"/>
    <n v="3"/>
    <n v="81"/>
    <x v="3"/>
    <x v="1"/>
    <x v="2"/>
    <x v="2"/>
    <x v="1"/>
    <x v="7"/>
    <x v="2"/>
    <n v="81"/>
    <s v="Benjamin Clark"/>
  </r>
  <r>
    <x v="50"/>
    <s v="10/2/2023"/>
    <m/>
    <m/>
    <s v="CUST041"/>
    <s v="PROD021"/>
    <x v="0"/>
    <n v="37"/>
    <n v="1"/>
    <n v="37"/>
    <x v="0"/>
    <x v="2"/>
    <x v="2"/>
    <x v="0"/>
    <x v="2"/>
    <x v="0"/>
    <x v="0"/>
    <n v="0"/>
    <s v="Jacob Price"/>
  </r>
  <r>
    <x v="51"/>
    <s v="1/30/2023"/>
    <s v="2/1/2023"/>
    <m/>
    <s v="CUST008"/>
    <s v="PROD015"/>
    <x v="0"/>
    <n v="22"/>
    <n v="1"/>
    <n v="22"/>
    <x v="4"/>
    <x v="1"/>
    <x v="4"/>
    <x v="4"/>
    <x v="1"/>
    <x v="1"/>
    <x v="1"/>
    <n v="22"/>
    <s v="Harper Young"/>
  </r>
  <r>
    <x v="52"/>
    <s v="12/29/2023"/>
    <s v="1/1/2024"/>
    <m/>
    <s v="CUST011"/>
    <s v="PROD016"/>
    <x v="3"/>
    <n v="218"/>
    <n v="5"/>
    <n v="1090"/>
    <x v="2"/>
    <x v="1"/>
    <x v="0"/>
    <x v="0"/>
    <x v="1"/>
    <x v="2"/>
    <x v="2"/>
    <n v="1090"/>
    <s v="Mason Hall"/>
  </r>
  <r>
    <x v="53"/>
    <s v="3/6/2023"/>
    <m/>
    <s v="3/13/2023"/>
    <s v="CUST018"/>
    <s v="PROD004"/>
    <x v="0"/>
    <n v="64"/>
    <n v="1"/>
    <n v="64"/>
    <x v="0"/>
    <x v="0"/>
    <x v="1"/>
    <x v="1"/>
    <x v="0"/>
    <x v="0"/>
    <x v="0"/>
    <n v="0"/>
    <s v="Grace Scott"/>
  </r>
  <r>
    <x v="54"/>
    <s v="2/2/2023"/>
    <s v="2/6/2023"/>
    <m/>
    <s v="CUST037"/>
    <s v="PROD021"/>
    <x v="3"/>
    <n v="36"/>
    <n v="4"/>
    <n v="144"/>
    <x v="2"/>
    <x v="1"/>
    <x v="3"/>
    <x v="0"/>
    <x v="1"/>
    <x v="5"/>
    <x v="2"/>
    <n v="144"/>
    <s v="Emily Johnson"/>
  </r>
  <r>
    <x v="55"/>
    <s v="10/18/2023"/>
    <s v="10/21/2023"/>
    <m/>
    <s v="CUST017"/>
    <s v="PROD004"/>
    <x v="4"/>
    <n v="65"/>
    <n v="1"/>
    <n v="65"/>
    <x v="3"/>
    <x v="1"/>
    <x v="4"/>
    <x v="1"/>
    <x v="1"/>
    <x v="2"/>
    <x v="2"/>
    <n v="65"/>
    <s v="Emma King"/>
  </r>
  <r>
    <x v="56"/>
    <s v="1/7/2023"/>
    <s v="1/9/2023"/>
    <m/>
    <s v="CUST025"/>
    <s v="PROD005"/>
    <x v="3"/>
    <n v="26"/>
    <n v="1"/>
    <n v="26"/>
    <x v="0"/>
    <x v="1"/>
    <x v="0"/>
    <x v="2"/>
    <x v="1"/>
    <x v="1"/>
    <x v="1"/>
    <n v="26"/>
    <s v="Emma King"/>
  </r>
  <r>
    <x v="57"/>
    <s v="5/8/2023"/>
    <m/>
    <m/>
    <s v="CUST021"/>
    <s v="PROD009"/>
    <x v="0"/>
    <n v="11"/>
    <n v="5"/>
    <n v="55"/>
    <x v="1"/>
    <x v="2"/>
    <x v="4"/>
    <x v="4"/>
    <x v="2"/>
    <x v="0"/>
    <x v="0"/>
    <n v="0"/>
    <s v="Zoe Mitchell"/>
  </r>
  <r>
    <x v="58"/>
    <s v="4/2/2023"/>
    <m/>
    <s v="4/5/2023"/>
    <s v="CUST003"/>
    <s v="PROD013"/>
    <x v="0"/>
    <n v="195"/>
    <n v="4"/>
    <n v="195"/>
    <x v="2"/>
    <x v="0"/>
    <x v="4"/>
    <x v="0"/>
    <x v="0"/>
    <x v="0"/>
    <x v="0"/>
    <n v="0"/>
    <s v="Ethan Davis"/>
  </r>
  <r>
    <x v="59"/>
    <s v="10/11/2023"/>
    <m/>
    <s v="10/12/2023"/>
    <s v="CUST019"/>
    <s v="PROD019"/>
    <x v="4"/>
    <n v="44"/>
    <n v="5"/>
    <n v="44"/>
    <x v="0"/>
    <x v="0"/>
    <x v="1"/>
    <x v="2"/>
    <x v="0"/>
    <x v="0"/>
    <x v="0"/>
    <n v="0"/>
    <s v="Ava Robinson"/>
  </r>
  <r>
    <x v="60"/>
    <s v="9/10/2023"/>
    <m/>
    <m/>
    <s v="CUST035"/>
    <s v="PROD008"/>
    <x v="1"/>
    <n v="69"/>
    <n v="4"/>
    <n v="276"/>
    <x v="4"/>
    <x v="2"/>
    <x v="0"/>
    <x v="4"/>
    <x v="2"/>
    <x v="0"/>
    <x v="0"/>
    <n v="0"/>
    <s v="Scarlett Adams"/>
  </r>
  <r>
    <x v="61"/>
    <s v="11/22/2023"/>
    <s v="11/29/2023"/>
    <m/>
    <s v="CUST022"/>
    <s v="PROD001"/>
    <x v="0"/>
    <n v="815"/>
    <n v="4"/>
    <n v="3260"/>
    <x v="1"/>
    <x v="1"/>
    <x v="1"/>
    <x v="3"/>
    <x v="1"/>
    <x v="7"/>
    <x v="2"/>
    <n v="3260"/>
    <s v="Elijah Lewis"/>
  </r>
  <r>
    <x v="62"/>
    <s v="5/2/2023"/>
    <m/>
    <m/>
    <s v="CUST004"/>
    <s v="PROD005"/>
    <x v="1"/>
    <n v="27"/>
    <n v="1"/>
    <n v="27"/>
    <x v="4"/>
    <x v="2"/>
    <x v="3"/>
    <x v="2"/>
    <x v="2"/>
    <x v="0"/>
    <x v="0"/>
    <n v="0"/>
    <s v="Noah Wilson"/>
  </r>
  <r>
    <x v="63"/>
    <s v="12/25/2023"/>
    <s v="12/29/2023"/>
    <m/>
    <s v="CUST048"/>
    <s v="PROD003"/>
    <x v="4"/>
    <n v="139"/>
    <n v="5"/>
    <n v="695"/>
    <x v="0"/>
    <x v="1"/>
    <x v="1"/>
    <x v="0"/>
    <x v="1"/>
    <x v="5"/>
    <x v="2"/>
    <n v="695"/>
    <s v="Noah Wilson"/>
  </r>
  <r>
    <x v="64"/>
    <s v="10/18/2023"/>
    <m/>
    <s v="10/20/2023"/>
    <s v="CUST009"/>
    <s v="PROD008"/>
    <x v="2"/>
    <n v="69"/>
    <n v="3"/>
    <n v="69"/>
    <x v="2"/>
    <x v="0"/>
    <x v="3"/>
    <x v="4"/>
    <x v="0"/>
    <x v="0"/>
    <x v="0"/>
    <n v="0"/>
    <s v="Jackson Allen"/>
  </r>
  <r>
    <x v="65"/>
    <s v="5/20/2023"/>
    <m/>
    <s v="5/21/2023"/>
    <s v="CUST009"/>
    <s v="PROD019"/>
    <x v="4"/>
    <n v="42"/>
    <n v="1"/>
    <n v="42"/>
    <x v="0"/>
    <x v="0"/>
    <x v="0"/>
    <x v="2"/>
    <x v="0"/>
    <x v="0"/>
    <x v="0"/>
    <n v="0"/>
    <s v="Jackson Allen"/>
  </r>
  <r>
    <x v="66"/>
    <s v="7/28/2023"/>
    <s v="7/30/2023"/>
    <m/>
    <s v="CUST050"/>
    <s v="PROD007"/>
    <x v="0"/>
    <n v="31"/>
    <n v="4"/>
    <n v="124"/>
    <x v="1"/>
    <x v="1"/>
    <x v="2"/>
    <x v="1"/>
    <x v="1"/>
    <x v="1"/>
    <x v="1"/>
    <n v="124"/>
    <s v="Not Found"/>
  </r>
  <r>
    <x v="67"/>
    <s v="12/18/2023"/>
    <m/>
    <m/>
    <s v="CUST045"/>
    <s v="PROD020"/>
    <x v="4"/>
    <n v="104"/>
    <n v="3"/>
    <n v="312"/>
    <x v="1"/>
    <x v="2"/>
    <x v="2"/>
    <x v="3"/>
    <x v="2"/>
    <x v="0"/>
    <x v="0"/>
    <n v="0"/>
    <s v="Emily Johnson"/>
  </r>
  <r>
    <x v="68"/>
    <s v="7/2/2023"/>
    <m/>
    <s v="7/7/2023"/>
    <s v="CUST044"/>
    <s v="PROD010"/>
    <x v="1"/>
    <n v="58"/>
    <n v="2"/>
    <n v="58"/>
    <x v="0"/>
    <x v="0"/>
    <x v="1"/>
    <x v="2"/>
    <x v="0"/>
    <x v="0"/>
    <x v="0"/>
    <n v="0"/>
    <s v="Grace Ward"/>
  </r>
  <r>
    <x v="69"/>
    <s v="10/9/2023"/>
    <m/>
    <s v="10/10/2023"/>
    <s v="CUST009"/>
    <s v="PROD004"/>
    <x v="4"/>
    <n v="62"/>
    <n v="2"/>
    <n v="62"/>
    <x v="4"/>
    <x v="0"/>
    <x v="0"/>
    <x v="1"/>
    <x v="0"/>
    <x v="0"/>
    <x v="0"/>
    <n v="0"/>
    <s v="Jackson Allen"/>
  </r>
  <r>
    <x v="70"/>
    <s v="12/18/2023"/>
    <s v="12/25/2023"/>
    <m/>
    <s v="CUST006"/>
    <s v="PROD019"/>
    <x v="1"/>
    <n v="43"/>
    <n v="1"/>
    <n v="43"/>
    <x v="1"/>
    <x v="1"/>
    <x v="3"/>
    <x v="2"/>
    <x v="1"/>
    <x v="7"/>
    <x v="2"/>
    <n v="43"/>
    <s v="Ava Robinson"/>
  </r>
  <r>
    <x v="71"/>
    <s v="3/7/2023"/>
    <m/>
    <m/>
    <s v="CUST022"/>
    <s v="PROD004"/>
    <x v="1"/>
    <n v="62"/>
    <n v="4"/>
    <n v="248"/>
    <x v="4"/>
    <x v="2"/>
    <x v="3"/>
    <x v="1"/>
    <x v="2"/>
    <x v="0"/>
    <x v="0"/>
    <n v="0"/>
    <s v="Elijah Lewis"/>
  </r>
  <r>
    <x v="72"/>
    <s v="7/22/2023"/>
    <m/>
    <s v="7/25/2023"/>
    <s v="CUST028"/>
    <s v="PROD006"/>
    <x v="0"/>
    <n v="95"/>
    <n v="2"/>
    <n v="95"/>
    <x v="2"/>
    <x v="0"/>
    <x v="2"/>
    <x v="2"/>
    <x v="0"/>
    <x v="0"/>
    <x v="0"/>
    <n v="0"/>
    <s v="Lily Bennett"/>
  </r>
  <r>
    <x v="73"/>
    <s v="1/18/2023"/>
    <s v="1/24/2023"/>
    <m/>
    <s v="CUST016"/>
    <s v="PROD021"/>
    <x v="3"/>
    <n v="36"/>
    <n v="4"/>
    <n v="144"/>
    <x v="0"/>
    <x v="1"/>
    <x v="4"/>
    <x v="0"/>
    <x v="1"/>
    <x v="3"/>
    <x v="2"/>
    <n v="144"/>
    <s v="Elijah Lewis"/>
  </r>
  <r>
    <x v="74"/>
    <s v="5/24/2023"/>
    <m/>
    <m/>
    <s v="CUST042"/>
    <s v="PROD017"/>
    <x v="1"/>
    <n v="73"/>
    <n v="5"/>
    <n v="365"/>
    <x v="0"/>
    <x v="2"/>
    <x v="0"/>
    <x v="3"/>
    <x v="2"/>
    <x v="0"/>
    <x v="0"/>
    <n v="0"/>
    <s v="Noah Wilson"/>
  </r>
  <r>
    <x v="75"/>
    <s v="9/3/2023"/>
    <s v="9/9/2023"/>
    <m/>
    <s v="CUST023"/>
    <s v="PROD019"/>
    <x v="0"/>
    <n v="43"/>
    <n v="4"/>
    <n v="172"/>
    <x v="4"/>
    <x v="1"/>
    <x v="0"/>
    <x v="2"/>
    <x v="1"/>
    <x v="3"/>
    <x v="2"/>
    <n v="172"/>
    <s v="Charlotte Reed"/>
  </r>
  <r>
    <x v="76"/>
    <s v="11/2/2023"/>
    <s v="11/4/2023"/>
    <m/>
    <s v="CUST004"/>
    <s v="PROD016"/>
    <x v="4"/>
    <n v="214"/>
    <n v="5"/>
    <n v="1070"/>
    <x v="4"/>
    <x v="1"/>
    <x v="2"/>
    <x v="0"/>
    <x v="1"/>
    <x v="1"/>
    <x v="1"/>
    <n v="1070"/>
    <s v="Noah Wilson"/>
  </r>
  <r>
    <x v="77"/>
    <s v="12/3/2023"/>
    <m/>
    <s v="12/6/2023"/>
    <s v="CUST048"/>
    <s v="PROD002"/>
    <x v="3"/>
    <n v="42"/>
    <n v="2"/>
    <n v="42"/>
    <x v="0"/>
    <x v="0"/>
    <x v="2"/>
    <x v="1"/>
    <x v="0"/>
    <x v="0"/>
    <x v="0"/>
    <n v="0"/>
    <s v="Noah Wilson"/>
  </r>
  <r>
    <x v="78"/>
    <s v="4/1/2023"/>
    <m/>
    <m/>
    <s v="CUST048"/>
    <s v="PROD012"/>
    <x v="0"/>
    <n v="46"/>
    <n v="1"/>
    <n v="46"/>
    <x v="3"/>
    <x v="2"/>
    <x v="2"/>
    <x v="0"/>
    <x v="2"/>
    <x v="0"/>
    <x v="0"/>
    <n v="0"/>
    <s v="Noah Wilson"/>
  </r>
  <r>
    <x v="79"/>
    <s v="10/16/2023"/>
    <s v="10/19/2023"/>
    <m/>
    <s v="CUST032"/>
    <s v="PROD018"/>
    <x v="1"/>
    <n v="95"/>
    <n v="4"/>
    <n v="380"/>
    <x v="1"/>
    <x v="1"/>
    <x v="2"/>
    <x v="1"/>
    <x v="1"/>
    <x v="2"/>
    <x v="2"/>
    <n v="380"/>
    <s v="Luke Gray"/>
  </r>
  <r>
    <x v="80"/>
    <s v="11/5/2023"/>
    <m/>
    <m/>
    <s v="CUST001"/>
    <s v="PROD011"/>
    <x v="4"/>
    <n v="174"/>
    <n v="2"/>
    <n v="348"/>
    <x v="2"/>
    <x v="2"/>
    <x v="2"/>
    <x v="3"/>
    <x v="2"/>
    <x v="0"/>
    <x v="0"/>
    <n v="0"/>
    <s v="James Miller"/>
  </r>
  <r>
    <x v="81"/>
    <s v="6/15/2023"/>
    <m/>
    <s v="6/18/2023"/>
    <s v="CUST046"/>
    <s v="PROD005"/>
    <x v="0"/>
    <n v="27"/>
    <n v="5"/>
    <n v="27"/>
    <x v="1"/>
    <x v="0"/>
    <x v="3"/>
    <x v="2"/>
    <x v="0"/>
    <x v="0"/>
    <x v="0"/>
    <n v="0"/>
    <s v="Emily Johnson"/>
  </r>
  <r>
    <x v="82"/>
    <s v="10/28/2023"/>
    <s v="10/30/2023"/>
    <m/>
    <s v="CUST021"/>
    <s v="PROD005"/>
    <x v="2"/>
    <n v="27"/>
    <n v="4"/>
    <n v="108"/>
    <x v="2"/>
    <x v="1"/>
    <x v="1"/>
    <x v="2"/>
    <x v="1"/>
    <x v="1"/>
    <x v="1"/>
    <n v="108"/>
    <s v="Zoe Mitchell"/>
  </r>
  <r>
    <x v="83"/>
    <s v="12/22/2023"/>
    <m/>
    <m/>
    <s v="CUST015"/>
    <s v="PROD022"/>
    <x v="2"/>
    <n v="65"/>
    <n v="2"/>
    <n v="130"/>
    <x v="2"/>
    <x v="2"/>
    <x v="0"/>
    <x v="2"/>
    <x v="2"/>
    <x v="0"/>
    <x v="0"/>
    <n v="0"/>
    <s v="Ava White"/>
  </r>
  <r>
    <x v="84"/>
    <s v="3/7/2023"/>
    <m/>
    <m/>
    <s v="CUST045"/>
    <s v="PROD019"/>
    <x v="1"/>
    <n v="43"/>
    <n v="5"/>
    <n v="215"/>
    <x v="4"/>
    <x v="2"/>
    <x v="0"/>
    <x v="2"/>
    <x v="2"/>
    <x v="0"/>
    <x v="0"/>
    <n v="0"/>
    <s v="Emily Johnson"/>
  </r>
  <r>
    <x v="85"/>
    <s v="11/10/2023"/>
    <m/>
    <m/>
    <s v="CUST007"/>
    <s v="PROD016"/>
    <x v="4"/>
    <n v="210"/>
    <n v="1"/>
    <n v="210"/>
    <x v="2"/>
    <x v="2"/>
    <x v="2"/>
    <x v="0"/>
    <x v="2"/>
    <x v="0"/>
    <x v="0"/>
    <n v="0"/>
    <s v="Liam Walker"/>
  </r>
  <r>
    <x v="86"/>
    <s v="11/22/2023"/>
    <m/>
    <m/>
    <s v="CUST043"/>
    <s v="PROD021"/>
    <x v="2"/>
    <n v="37"/>
    <n v="3"/>
    <n v="111"/>
    <x v="1"/>
    <x v="2"/>
    <x v="2"/>
    <x v="0"/>
    <x v="2"/>
    <x v="0"/>
    <x v="0"/>
    <n v="0"/>
    <s v="Lily Reed"/>
  </r>
  <r>
    <x v="87"/>
    <s v="5/8/2023"/>
    <m/>
    <m/>
    <s v="CUST007"/>
    <s v="PROD001"/>
    <x v="2"/>
    <n v="788"/>
    <n v="4"/>
    <n v="3152"/>
    <x v="4"/>
    <x v="2"/>
    <x v="3"/>
    <x v="3"/>
    <x v="2"/>
    <x v="0"/>
    <x v="0"/>
    <n v="0"/>
    <s v="Liam Walker"/>
  </r>
  <r>
    <x v="88"/>
    <s v="7/13/2023"/>
    <m/>
    <m/>
    <s v="CUST007"/>
    <s v="PROD016"/>
    <x v="4"/>
    <n v="217"/>
    <n v="5"/>
    <n v="1085"/>
    <x v="4"/>
    <x v="2"/>
    <x v="4"/>
    <x v="0"/>
    <x v="2"/>
    <x v="0"/>
    <x v="0"/>
    <n v="0"/>
    <s v="Liam Walker"/>
  </r>
  <r>
    <x v="89"/>
    <s v="1/18/2023"/>
    <m/>
    <m/>
    <s v="CUST007"/>
    <s v="PROD003"/>
    <x v="4"/>
    <n v="138"/>
    <n v="4"/>
    <n v="552"/>
    <x v="1"/>
    <x v="2"/>
    <x v="4"/>
    <x v="0"/>
    <x v="2"/>
    <x v="0"/>
    <x v="0"/>
    <n v="0"/>
    <s v="Liam Walker"/>
  </r>
  <r>
    <x v="90"/>
    <s v="6/23/2023"/>
    <s v="6/29/2023"/>
    <m/>
    <s v="CUST031"/>
    <s v="PROD001"/>
    <x v="3"/>
    <n v="803"/>
    <n v="2"/>
    <n v="1606"/>
    <x v="0"/>
    <x v="1"/>
    <x v="4"/>
    <x v="3"/>
    <x v="1"/>
    <x v="3"/>
    <x v="2"/>
    <n v="1606"/>
    <s v="Mason Collins"/>
  </r>
  <r>
    <x v="91"/>
    <s v="2/21/2023"/>
    <m/>
    <s v="2/25/2023"/>
    <s v="CUST013"/>
    <s v="PROD014"/>
    <x v="0"/>
    <n v="248"/>
    <n v="5"/>
    <n v="248"/>
    <x v="2"/>
    <x v="0"/>
    <x v="2"/>
    <x v="3"/>
    <x v="0"/>
    <x v="0"/>
    <x v="0"/>
    <n v="0"/>
    <s v="Olivia Martinez"/>
  </r>
  <r>
    <x v="92"/>
    <s v="2/19/2023"/>
    <s v="2/21/2023"/>
    <m/>
    <s v="CUST036"/>
    <s v="PROD016"/>
    <x v="1"/>
    <n v="210"/>
    <n v="3"/>
    <n v="630"/>
    <x v="0"/>
    <x v="1"/>
    <x v="0"/>
    <x v="0"/>
    <x v="1"/>
    <x v="1"/>
    <x v="1"/>
    <n v="630"/>
    <s v="Ethan Davis"/>
  </r>
  <r>
    <x v="93"/>
    <s v="12/5/2023"/>
    <m/>
    <s v="12/12/2023"/>
    <s v="CUST013"/>
    <s v="PROD004"/>
    <x v="0"/>
    <n v="62"/>
    <n v="2"/>
    <n v="62"/>
    <x v="1"/>
    <x v="0"/>
    <x v="4"/>
    <x v="1"/>
    <x v="0"/>
    <x v="0"/>
    <x v="0"/>
    <n v="0"/>
    <s v="Olivia Martinez"/>
  </r>
  <r>
    <x v="94"/>
    <s v="6/7/2023"/>
    <m/>
    <s v="6/12/2023"/>
    <s v="CUST043"/>
    <s v="PROD009"/>
    <x v="2"/>
    <n v="11"/>
    <n v="5"/>
    <n v="11"/>
    <x v="4"/>
    <x v="0"/>
    <x v="3"/>
    <x v="4"/>
    <x v="0"/>
    <x v="0"/>
    <x v="0"/>
    <n v="0"/>
    <s v="Lily Reed"/>
  </r>
  <r>
    <x v="95"/>
    <s v="7/9/2023"/>
    <s v="7/12/2023"/>
    <m/>
    <s v="CUST017"/>
    <s v="PROD015"/>
    <x v="0"/>
    <n v="21"/>
    <n v="2"/>
    <n v="42"/>
    <x v="3"/>
    <x v="1"/>
    <x v="2"/>
    <x v="4"/>
    <x v="1"/>
    <x v="2"/>
    <x v="2"/>
    <n v="42"/>
    <s v="Emma King"/>
  </r>
  <r>
    <x v="96"/>
    <s v="12/23/2023"/>
    <s v="12/26/2023"/>
    <m/>
    <s v="CUST023"/>
    <s v="PROD018"/>
    <x v="4"/>
    <n v="95"/>
    <n v="5"/>
    <n v="475"/>
    <x v="3"/>
    <x v="1"/>
    <x v="3"/>
    <x v="1"/>
    <x v="1"/>
    <x v="2"/>
    <x v="2"/>
    <n v="475"/>
    <s v="Charlotte Reed"/>
  </r>
  <r>
    <x v="97"/>
    <s v="9/25/2023"/>
    <s v="9/30/2023"/>
    <m/>
    <s v="CUST044"/>
    <s v="PROD016"/>
    <x v="2"/>
    <n v="215"/>
    <n v="2"/>
    <n v="430"/>
    <x v="2"/>
    <x v="1"/>
    <x v="3"/>
    <x v="0"/>
    <x v="1"/>
    <x v="6"/>
    <x v="2"/>
    <n v="430"/>
    <s v="Grace Ward"/>
  </r>
  <r>
    <x v="98"/>
    <s v="1/18/2023"/>
    <m/>
    <s v="1/24/2023"/>
    <s v="CUST034"/>
    <s v="PROD019"/>
    <x v="4"/>
    <n v="43"/>
    <n v="5"/>
    <n v="43"/>
    <x v="1"/>
    <x v="0"/>
    <x v="2"/>
    <x v="2"/>
    <x v="0"/>
    <x v="0"/>
    <x v="0"/>
    <n v="0"/>
    <s v="Lily Simmons"/>
  </r>
  <r>
    <x v="99"/>
    <s v="3/27/2023"/>
    <m/>
    <m/>
    <s v="CUST009"/>
    <s v="PROD002"/>
    <x v="4"/>
    <n v="42"/>
    <n v="4"/>
    <n v="168"/>
    <x v="4"/>
    <x v="2"/>
    <x v="0"/>
    <x v="1"/>
    <x v="2"/>
    <x v="0"/>
    <x v="0"/>
    <n v="0"/>
    <s v="Jackson All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E22CA7-6DD8-469E-9F99-283C194BB3AA}" name="PivotTable4" cacheId="3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B16:C2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Sum of Effective Sales" fld="0" baseField="0" baseItem="0"/>
  </dataFields>
  <chartFormats count="1">
    <chartFormat chart="6" format="4"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2" level="1">
        <member name="[Range].[Delivery Status].&amp;[Cancelled]"/>
        <member name="[Range].[Delivery Status].&amp;[Delivere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Sales_Clean!$A$1:$T$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AEFCC-4754-4CE1-A85A-E11CFAB992AA}" name="PivotTable3"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H4:I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Effective Sales" fld="1" baseField="0" baseItem="0"/>
  </dataFields>
  <chartFormats count="2">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Sales_Clean!$A$1:$T$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AC3B4F-14BF-4BAB-841A-ED02D4C9AA2E}" name="PivotTable2" cacheId="2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L3:M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Effective Sales" fld="1" baseField="0" baseItem="0"/>
  </dataFields>
  <chartFormats count="1">
    <chartFormat chart="6" format="4"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2" level="1">
        <member name="[Range].[Delivery Status].&amp;[Cancelled]"/>
        <member name="[Range].[Delivery Status].&amp;[Delivere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Sales_Clean!$A$1:$T$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175074-8D9D-4CFF-812B-6D076FA40575}" name="PivotTable6" cacheId="2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1">
  <location ref="B4:C6" firstHeaderRow="1" firstDataRow="1" firstDataCol="1"/>
  <pivotFields count="2">
    <pivotField axis="axisRow" allDrilled="1" subtotalTop="0" showAll="0" dataSourceSort="1" defaultSubtotal="0" defaultAttributeDrillState="1">
      <items count="3">
        <item s="1" x="0"/>
        <item s="1" x="1"/>
        <item x="2"/>
      </items>
    </pivotField>
    <pivotField dataField="1" subtotalTop="0" showAll="0" defaultSubtotal="0"/>
  </pivotFields>
  <rowFields count="1">
    <field x="0"/>
  </rowFields>
  <rowItems count="2">
    <i>
      <x/>
    </i>
    <i>
      <x v="1"/>
    </i>
  </rowItems>
  <colItems count="1">
    <i/>
  </colItems>
  <dataFields count="1">
    <dataField name="Count of Order Status" fld="1" subtotal="count" baseField="0" baseItem="0"/>
  </dataFields>
  <chartFormats count="4">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0" count="1" selected="0">
            <x v="0"/>
          </reference>
        </references>
      </pivotArea>
    </chartFormat>
    <chartFormat chart="7" format="15">
      <pivotArea type="data" outline="0" fieldPosition="0">
        <references count="2">
          <reference field="4294967294" count="1" selected="0">
            <x v="0"/>
          </reference>
          <reference field="0" count="1" selected="0">
            <x v="1"/>
          </reference>
        </references>
      </pivotArea>
    </chartFormat>
    <chartFormat chart="7" format="16">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Sales_Clean!$A$1:$T$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AA7F08-382D-4676-9559-F63AE148F7CF}" name="PivotTable5" cacheId="3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I16:J2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Effective Sales" fld="0" baseField="0" baseItem="0"/>
  </dataFields>
  <chartFormats count="1">
    <chartFormat chart="5" format="4"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members count="2" level="1">
        <member name="[Range].[Delivery Status].&amp;[Cancelled]"/>
        <member name="[Range].[Delivery Status].&amp;[Delivere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Sales_Clean!$A$1:$T$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D631C7-3845-415A-9C75-9B7B1E2177D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A3:B24" firstHeaderRow="1" firstDataRow="1" firstDataCol="1" rowPageCount="1" colPageCount="1"/>
  <pivotFields count="19">
    <pivotField showAll="0"/>
    <pivotField showAll="0"/>
    <pivotField showAll="0"/>
    <pivotField showAll="0"/>
    <pivotField showAll="0"/>
    <pivotField showAll="0"/>
    <pivotField axis="axisRow" showAll="0">
      <items count="6">
        <item x="3"/>
        <item x="1"/>
        <item x="0"/>
        <item sd="0" x="2"/>
        <item sd="0" x="4"/>
        <item t="default"/>
      </items>
    </pivotField>
    <pivotField showAll="0"/>
    <pivotField showAll="0"/>
    <pivotField dataField="1" numFmtId="43" showAll="0"/>
    <pivotField axis="axisPage" multipleItemSelectionAllowed="1" showAll="0">
      <items count="6">
        <item x="3"/>
        <item x="0"/>
        <item x="1"/>
        <item x="4"/>
        <item x="2"/>
        <item t="default"/>
      </items>
    </pivotField>
    <pivotField showAll="0">
      <items count="4">
        <item x="0"/>
        <item x="1"/>
        <item x="2"/>
        <item t="default"/>
      </items>
    </pivotField>
    <pivotField showAll="0"/>
    <pivotField axis="axisRow" showAll="0">
      <items count="6">
        <item x="4"/>
        <item x="3"/>
        <item x="2"/>
        <item x="0"/>
        <item x="1"/>
        <item t="default"/>
      </items>
    </pivotField>
    <pivotField showAll="0"/>
    <pivotField showAll="0"/>
    <pivotField showAll="0"/>
    <pivotField showAll="0"/>
    <pivotField showAll="0"/>
  </pivotFields>
  <rowFields count="2">
    <field x="6"/>
    <field x="13"/>
  </rowFields>
  <rowItems count="21">
    <i>
      <x/>
    </i>
    <i r="1">
      <x/>
    </i>
    <i r="1">
      <x v="1"/>
    </i>
    <i r="1">
      <x v="2"/>
    </i>
    <i r="1">
      <x v="3"/>
    </i>
    <i r="1">
      <x v="4"/>
    </i>
    <i>
      <x v="1"/>
    </i>
    <i r="1">
      <x/>
    </i>
    <i r="1">
      <x v="1"/>
    </i>
    <i r="1">
      <x v="2"/>
    </i>
    <i r="1">
      <x v="3"/>
    </i>
    <i r="1">
      <x v="4"/>
    </i>
    <i>
      <x v="2"/>
    </i>
    <i r="1">
      <x/>
    </i>
    <i r="1">
      <x v="1"/>
    </i>
    <i r="1">
      <x v="2"/>
    </i>
    <i r="1">
      <x v="3"/>
    </i>
    <i r="1">
      <x v="4"/>
    </i>
    <i>
      <x v="3"/>
    </i>
    <i>
      <x v="4"/>
    </i>
    <i t="grand">
      <x/>
    </i>
  </rowItems>
  <colItems count="1">
    <i/>
  </colItems>
  <pageFields count="1">
    <pageField fld="10" hier="-1"/>
  </pageFields>
  <dataFields count="1">
    <dataField name="Sum of Sales Amount" fld="9"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BC3D9F-A973-4341-82AB-87BB27F15A79}"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E9" firstHeaderRow="1" firstDataRow="1" firstDataCol="1"/>
  <pivotFields count="19">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numFmtId="43" showAll="0"/>
    <pivotField showAll="0">
      <items count="6">
        <item x="3"/>
        <item x="0"/>
        <item x="1"/>
        <item x="4"/>
        <item x="2"/>
        <item t="default"/>
      </items>
    </pivotField>
    <pivotField showAll="0">
      <items count="4">
        <item x="0"/>
        <item x="1"/>
        <item x="2"/>
        <item t="default"/>
      </items>
    </pivotField>
    <pivotField showAll="0"/>
    <pivotField showAll="0">
      <items count="6">
        <item x="4"/>
        <item x="3"/>
        <item x="2"/>
        <item x="0"/>
        <item x="1"/>
        <item t="default"/>
      </items>
    </pivotField>
    <pivotField showAll="0"/>
    <pivotField dataField="1" showAll="0">
      <items count="9">
        <item x="4"/>
        <item x="1"/>
        <item x="2"/>
        <item x="5"/>
        <item x="6"/>
        <item x="3"/>
        <item x="7"/>
        <item x="0"/>
        <item t="default"/>
      </items>
    </pivotField>
    <pivotField showAll="0">
      <items count="4">
        <item x="1"/>
        <item x="0"/>
        <item x="2"/>
        <item t="default"/>
      </items>
    </pivotField>
    <pivotField showAll="0"/>
    <pivotField showAll="0"/>
  </pivotFields>
  <rowFields count="1">
    <field x="6"/>
  </rowFields>
  <rowItems count="6">
    <i>
      <x/>
    </i>
    <i>
      <x v="1"/>
    </i>
    <i>
      <x v="2"/>
    </i>
    <i>
      <x v="3"/>
    </i>
    <i>
      <x v="4"/>
    </i>
    <i t="grand">
      <x/>
    </i>
  </rowItems>
  <colItems count="1">
    <i/>
  </colItems>
  <dataFields count="1">
    <dataField name="Average of Delivery Days" fld="15" subtotal="average" baseField="6" baseItem="0" numFmtId="16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526B70-5757-4A3D-AC10-AB5A0DCB2D6B}" name="PivotTable6"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olHeaderCaption="Product Category">
  <location ref="K3:Q17" firstHeaderRow="1" firstDataRow="2"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um of Effective Sales" fld="2"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Sales_Clean!$A$1:$T$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151C7D-3064-40A3-9647-CFC248A2C4C9}" name="PivotTable2" cacheId="0"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27">
  <location ref="D13:E17" firstHeaderRow="1" firstDataRow="1" firstDataCol="1"/>
  <pivotFields count="19">
    <pivotField showAll="0"/>
    <pivotField showAll="0"/>
    <pivotField showAll="0"/>
    <pivotField showAll="0"/>
    <pivotField showAll="0"/>
    <pivotField showAll="0"/>
    <pivotField showAll="0">
      <items count="6">
        <item x="3"/>
        <item x="1"/>
        <item x="0"/>
        <item x="2"/>
        <item x="4"/>
        <item t="default"/>
      </items>
    </pivotField>
    <pivotField showAll="0"/>
    <pivotField showAll="0"/>
    <pivotField numFmtId="43" showAll="0"/>
    <pivotField showAll="0">
      <items count="6">
        <item x="3"/>
        <item x="0"/>
        <item x="1"/>
        <item x="4"/>
        <item x="2"/>
        <item t="default"/>
      </items>
    </pivotField>
    <pivotField axis="axisRow" showAll="0">
      <items count="4">
        <item x="0"/>
        <item x="1"/>
        <item x="2"/>
        <item t="default"/>
      </items>
    </pivotField>
    <pivotField showAll="0"/>
    <pivotField showAll="0">
      <items count="6">
        <item x="4"/>
        <item x="3"/>
        <item x="2"/>
        <item x="0"/>
        <item x="1"/>
        <item t="default"/>
      </items>
    </pivotField>
    <pivotField dataField="1" showAll="0"/>
    <pivotField showAll="0"/>
    <pivotField showAll="0"/>
    <pivotField showAll="0"/>
    <pivotField showAll="0"/>
  </pivotFields>
  <rowFields count="1">
    <field x="11"/>
  </rowFields>
  <rowItems count="4">
    <i>
      <x/>
    </i>
    <i>
      <x v="1"/>
    </i>
    <i>
      <x v="2"/>
    </i>
    <i t="grand">
      <x/>
    </i>
  </rowItems>
  <colItems count="1">
    <i/>
  </colItems>
  <dataFields count="1">
    <dataField name="Count of Order Status" fld="14" subtotal="count"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1" count="1" selected="0">
            <x v="0"/>
          </reference>
        </references>
      </pivotArea>
    </chartFormat>
    <chartFormat chart="11" format="7">
      <pivotArea type="data" outline="0" fieldPosition="0">
        <references count="2">
          <reference field="4294967294" count="1" selected="0">
            <x v="0"/>
          </reference>
          <reference field="11" count="1" selected="0">
            <x v="1"/>
          </reference>
        </references>
      </pivotArea>
    </chartFormat>
    <chartFormat chart="11"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6C7C0F-5C60-4F5C-A572-B04A284359E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pivotFields count="3">
    <pivotField dataField="1" subtotalTop="0" showAll="0" defaultSubtotal="0"/>
    <pivotField axis="axisRow" allDrilled="1" subtotalTop="0" showAll="0"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s>
  <rowFields count="1">
    <field x="1"/>
  </rowFields>
  <rowItems count="6">
    <i>
      <x/>
    </i>
    <i>
      <x v="1"/>
    </i>
    <i>
      <x v="2"/>
    </i>
    <i>
      <x v="3"/>
    </i>
    <i>
      <x v="4"/>
    </i>
    <i t="grand">
      <x/>
    </i>
  </rowItems>
  <colFields count="1">
    <field x="2"/>
  </colFields>
  <colItems count="4">
    <i>
      <x/>
    </i>
    <i>
      <x v="1"/>
    </i>
    <i>
      <x v="2"/>
    </i>
    <i t="grand">
      <x/>
    </i>
  </colItems>
  <dataFields count="1">
    <dataField name="Count of Delivery Status" fld="0" subtotal="count" baseField="0" baseItem="0"/>
  </dataFields>
  <formats count="10">
    <format dxfId="10">
      <pivotArea field="1" type="button" dataOnly="0" labelOnly="1" outline="0" axis="axisRow" fieldPosition="0"/>
    </format>
    <format dxfId="9">
      <pivotArea dataOnly="0" labelOnly="1" fieldPosition="0">
        <references count="1">
          <reference field="2" count="0"/>
        </references>
      </pivotArea>
    </format>
    <format dxfId="8">
      <pivotArea dataOnly="0" labelOnly="1" grandCol="1" outline="0" fieldPosition="0"/>
    </format>
    <format dxfId="7">
      <pivotArea grandRow="1" outline="0" collapsedLevelsAreSubtotals="1" fieldPosition="0"/>
    </format>
    <format dxfId="6">
      <pivotArea dataOnly="0" labelOnly="1" grandRow="1" outline="0" fieldPosition="0"/>
    </format>
    <format dxfId="5">
      <pivotArea collapsedLevelsAreSubtotals="1" fieldPosition="0">
        <references count="1">
          <reference field="1" count="0"/>
        </references>
      </pivotArea>
    </format>
    <format dxfId="4">
      <pivotArea dataOnly="0" labelOnly="1" fieldPosition="0">
        <references count="1">
          <reference field="1" count="0"/>
        </references>
      </pivotArea>
    </format>
    <format dxfId="3">
      <pivotArea collapsedLevelsAreSubtotals="1" fieldPosition="0">
        <references count="2">
          <reference field="1" count="0"/>
          <reference field="2" count="1" selected="0">
            <x v="0"/>
          </reference>
        </references>
      </pivotArea>
    </format>
    <format dxfId="2">
      <pivotArea collapsedLevelsAreSubtotals="1" fieldPosition="0">
        <references count="2">
          <reference field="1" count="0"/>
          <reference field="2" count="1" selected="0">
            <x v="1"/>
          </reference>
        </references>
      </pivotArea>
    </format>
    <format dxfId="1">
      <pivotArea collapsedLevelsAreSubtotals="1" fieldPosition="0">
        <references count="2">
          <reference field="1" count="0"/>
          <reference field="2" count="1" selected="0">
            <x v="2"/>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7"/>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Sales_Clean!$A$1:$T$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7DECED-AB94-4F8D-8B70-6907249E7D0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9" firstHeaderRow="1" firstDataRow="1" firstDataCol="1"/>
  <pivotFields count="2">
    <pivotField axis="axisRow" allDrilled="1" subtotalTop="0" showAll="0"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Effective Sales" fld="1" baseField="0" baseItem="0"/>
  </dataFields>
  <formats count="8">
    <format dxfId="18">
      <pivotArea field="0" type="button" dataOnly="0" labelOnly="1" outline="0" axis="axisRow" fieldPosition="0"/>
    </format>
    <format dxfId="17">
      <pivotArea dataOnly="0" labelOnly="1" grandCol="1" outline="0" fieldPosition="0"/>
    </format>
    <format dxfId="16">
      <pivotArea grandRow="1" outline="0" collapsedLevelsAreSubtotals="1" fieldPosition="0"/>
    </format>
    <format dxfId="15">
      <pivotArea dataOnly="0" labelOnly="1" grandRow="1" outline="0" fieldPosition="0"/>
    </format>
    <format dxfId="14">
      <pivotArea collapsedLevelsAreSubtotals="1" fieldPosition="0">
        <references count="1">
          <reference field="0" count="0"/>
        </references>
      </pivotArea>
    </format>
    <format dxfId="13">
      <pivotArea dataOnly="0" labelOnly="1" fieldPosition="0">
        <references count="1">
          <reference field="0" count="0"/>
        </references>
      </pivotArea>
    </format>
    <format dxfId="12">
      <pivotArea grandRow="1" outline="0" collapsedLevelsAreSubtotals="1" fieldPosition="0"/>
    </format>
    <format dxfId="11">
      <pivotArea dataOnly="0" fieldPosition="0">
        <references count="1">
          <reference field="0" count="0"/>
        </references>
      </pivotArea>
    </format>
  </formats>
  <conditionalFormats count="1">
    <conditionalFormat priority="2">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1" id="{611EFD33-0B64-45E6-991B-57B6ECA6429E}">
            <x14:pivotAreas count="1">
              <pivotArea type="data" collapsedLevelsAreSubtotals="1" fieldPosition="0">
                <references count="2">
                  <reference field="4294967294" count="1" selected="0">
                    <x v="0"/>
                  </reference>
                  <reference field="0" count="5">
                    <x v="0"/>
                    <x v="1"/>
                    <x v="2"/>
                    <x v="3"/>
                    <x v="4"/>
                  </reference>
                </references>
              </pivotArea>
            </x14:pivotAreas>
          </x14:conditionalFormat>
        </x14:conditionalFormats>
      </x14:pivotTableDefinition>
    </ext>
    <ext xmlns:x15="http://schemas.microsoft.com/office/spreadsheetml/2010/11/main" uri="{E67621CE-5B39-4880-91FE-76760E9C1902}">
      <x15:pivotTableUISettings sourceDataName="WorksheetConnection_AmazonSales_Clean!$A$1:$T$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4777941-5DB2-4B86-B682-E8582DD197D6}" sourceName="Payment Method">
  <pivotTables>
    <pivotTable tabId="12" name="PivotTable10"/>
    <pivotTable tabId="12" name="PivotTable2"/>
    <pivotTable tabId="12" name="PivotTable8"/>
  </pivotTables>
  <data>
    <tabular pivotCacheId="1880091777">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DB5C75D-48E6-4167-819A-67FF232B0872}" sourceName="Product Category">
  <pivotTables>
    <pivotTable tabId="12" name="PivotTable8"/>
    <pivotTable tabId="12" name="PivotTable10"/>
    <pivotTable tabId="12" name="PivotTable2"/>
  </pivotTables>
  <data>
    <tabular pivotCacheId="1880091777">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88364DF-2379-4C19-BF3D-B110635A3440}" sourceName="[Range].[Month]">
  <pivotTables>
    <pivotTable tabId="33" name="PivotTable5"/>
    <pivotTable tabId="33" name="PivotTable4"/>
    <pivotTable tabId="33" name="PivotTable6"/>
    <pivotTable tabId="33" name="PivotTable2"/>
    <pivotTable tabId="33" name="PivotTable3"/>
  </pivotTables>
  <data>
    <olap pivotCacheId="714533949">
      <levels count="2">
        <level uniqueName="[Range].[Month].[(All)]" sourceCaption="(All)" count="0"/>
        <level uniqueName="[Range].[Month].[Month]" sourceCaption="Month" count="12" sortOrder="ascending">
          <ranges>
            <range startItem="0">
              <i n="[Range].[Month].&amp;[Apr]" c="Apr"/>
              <i n="[Range].[Month].&amp;[Aug]" c="Aug"/>
              <i n="[Range].[Month].&amp;[Dec]" c="Dec"/>
              <i n="[Range].[Month].&amp;[Feb]" c="Feb"/>
              <i n="[Range].[Month].&amp;[Jan]" c="Jan"/>
              <i n="[Range].[Month].&amp;[Jul]" c="Jul"/>
              <i n="[Range].[Month].&amp;[Jun]" c="Jun"/>
              <i n="[Range].[Month].&amp;[Mar]" c="Mar"/>
              <i n="[Range].[Month].&amp;[May]" c="May"/>
              <i n="[Range].[Month].&amp;[Nov]" c="Nov"/>
              <i n="[Range].[Month].&amp;[Oct]" c="Oct"/>
              <i n="[Range].[Month].&amp;[Sep]" c="Sep"/>
            </range>
          </ranges>
        </level>
      </levels>
      <selections count="1">
        <selection n="[Range].[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81731B19-A9AF-4D98-8706-213C0AC3AA65}" sourceName="[Range].[Delivery Status]">
  <pivotTables>
    <pivotTable tabId="33" name="PivotTable6"/>
    <pivotTable tabId="33" name="PivotTable2"/>
    <pivotTable tabId="33" name="PivotTable4"/>
    <pivotTable tabId="33" name="PivotTable5"/>
  </pivotTables>
  <data>
    <olap pivotCacheId="714533949">
      <levels count="2">
        <level uniqueName="[Range].[Delivery Status].[(All)]" sourceCaption="(All)" count="0"/>
        <level uniqueName="[Range].[Delivery Status].[Delivery Status]" sourceCaption="Delivery Status" count="3">
          <ranges>
            <range startItem="0">
              <i n="[Range].[Delivery Status].&amp;[Cancelled]" c="Cancelled"/>
              <i n="[Range].[Delivery Status].&amp;[Delivered]" c="Delivered"/>
              <i n="[Range].[Delivery Status].&amp;[In Transit]" c="In Transit"/>
            </range>
          </ranges>
        </level>
      </levels>
      <selections count="2">
        <selection n="[Range].[Delivery Status].&amp;[Cancelled]"/>
        <selection n="[Range].[Delivery Status].&amp;[Delivered]"/>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29B45DC3-6133-403E-B7B0-F3B85538F427}" sourceName="[Range].[Payment Method]">
  <pivotTables>
    <pivotTable tabId="33" name="PivotTable6"/>
    <pivotTable tabId="33" name="PivotTable2"/>
    <pivotTable tabId="33" name="PivotTable3"/>
    <pivotTable tabId="33" name="PivotTable4"/>
    <pivotTable tabId="33" name="PivotTable5"/>
  </pivotTables>
  <data>
    <olap pivotCacheId="714533949">
      <levels count="2">
        <level uniqueName="[Range].[Payment Method].[(All)]" sourceCaption="(All)" count="0"/>
        <level uniqueName="[Range].[Payment Method].[Payment Method]" sourceCaption="Payment Method" count="5">
          <ranges>
            <range startItem="0">
              <i n="[Range].[Payment Method].&amp;[Amazon Pay]" c="Amazon Pay"/>
              <i n="[Range].[Payment Method].&amp;[Apple Pay]" c="Apple Pay"/>
              <i n="[Range].[Payment Method].&amp;[Credit Card]" c="Credit Card"/>
              <i n="[Range].[Payment Method].&amp;[Debit Card]" c="Debit Card"/>
              <i n="[Range].[Payment Method].&amp;[PayPal]" c="PayPal"/>
            </range>
          </ranges>
        </level>
      </levels>
      <selections count="1">
        <selection n="[Range].[Payment Metho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8B6705-8CF5-42C1-A4F4-FD3BADEE8D6E}" sourceName="[Range].[Region]">
  <pivotTables>
    <pivotTable tabId="33" name="PivotTable6"/>
    <pivotTable tabId="33" name="PivotTable2"/>
    <pivotTable tabId="33" name="PivotTable3"/>
    <pivotTable tabId="33" name="PivotTable4"/>
    <pivotTable tabId="33" name="PivotTable5"/>
  </pivotTables>
  <data>
    <olap pivotCacheId="714533949">
      <levels count="2">
        <level uniqueName="[Range].[Region].[(All)]" sourceCaption="(All)" count="0"/>
        <level uniqueName="[Range].[Region].[Region]" sourceCaption="Region" count="5">
          <ranges>
            <range startItem="0">
              <i n="[Range].[Region].&amp;[Central]" c="Central"/>
              <i n="[Range].[Region].&amp;[East]" c="East"/>
              <i n="[Range].[Region].&amp;[North]" c="North"/>
              <i n="[Range].[Region].&amp;[South]" c="South"/>
              <i n="[Range].[Region].&amp;[West]" c="West"/>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C0F7F669-074D-4E46-882F-D232F459D395}" cache="Slicer_Payment_Method" caption="Payment Method" style="Slicer Style 2" rowHeight="365760"/>
  <slicer name="Product Category" xr10:uid="{1D5F75B1-43E8-456A-B227-B9DCC97A44F3}" cache="Slicer_Product_Category" caption="Product Category" style="Slicer Style 2"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033B67B-1298-4344-9FC6-1925142680ED}" cache="Slicer_Month" caption="Month" columnCount="12" level="1" style="Slicer Style 3" rowHeight="640080"/>
  <slicer name="Delivery Status" xr10:uid="{43259B4C-2D4D-40D6-AB2B-D60A3FC30B94}" cache="Slicer_Delivery_Status" caption="Delivery Status" level="1" style="Slicer Style 2" rowHeight="365760"/>
  <slicer name="Payment Method 1" xr10:uid="{A3626C53-7CE6-4D67-A26E-28D63E356A13}" cache="Slicer_Payment_Method1" caption="Payment Method" level="1" style="Slicer Style 2" rowHeight="365760"/>
  <slicer name="Region" xr10:uid="{16E01405-55E9-4CA4-AFED-3F5FD48CACF9}" cache="Slicer_Region" caption="Region" level="1" style="Slicer Style 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M101"/>
  <sheetViews>
    <sheetView workbookViewId="0">
      <selection activeCell="F9" sqref="F9"/>
    </sheetView>
  </sheetViews>
  <sheetFormatPr defaultRowHeight="14.5" x14ac:dyDescent="0.35"/>
  <cols>
    <col min="1" max="1" width="8.54296875" bestFit="1" customWidth="1"/>
    <col min="2" max="2" width="10.453125" style="5" bestFit="1" customWidth="1"/>
    <col min="3" max="3" width="12" style="5" bestFit="1" customWidth="1"/>
    <col min="4" max="4" width="10.7265625" style="5" bestFit="1" customWidth="1"/>
    <col min="5" max="5" width="11.26953125" bestFit="1" customWidth="1"/>
    <col min="6" max="6" width="9.7265625" bestFit="1" customWidth="1"/>
    <col min="7" max="7" width="6.81640625" bestFit="1" customWidth="1"/>
    <col min="8" max="8" width="13.1796875" bestFit="1" customWidth="1"/>
    <col min="9" max="9" width="8.1796875" bestFit="1" customWidth="1"/>
    <col min="10" max="10" width="12.36328125" bestFit="1" customWidth="1"/>
    <col min="11" max="11" width="15.54296875" bestFit="1" customWidth="1"/>
    <col min="12" max="12" width="13.36328125" bestFit="1" customWidth="1"/>
    <col min="13" max="13" width="16.6328125" bestFit="1" customWidth="1"/>
  </cols>
  <sheetData>
    <row r="1" spans="1:13" x14ac:dyDescent="0.35">
      <c r="A1" s="47" t="s">
        <v>0</v>
      </c>
      <c r="B1" s="48" t="s">
        <v>1</v>
      </c>
      <c r="C1" s="48" t="s">
        <v>2</v>
      </c>
      <c r="D1" s="48" t="s">
        <v>3</v>
      </c>
      <c r="E1" s="47" t="s">
        <v>4</v>
      </c>
      <c r="F1" s="47" t="s">
        <v>5</v>
      </c>
      <c r="G1" s="47" t="s">
        <v>6</v>
      </c>
      <c r="H1" s="49" t="s">
        <v>7</v>
      </c>
      <c r="I1" s="49" t="s">
        <v>8</v>
      </c>
      <c r="J1" s="50" t="s">
        <v>9</v>
      </c>
      <c r="K1" s="47" t="s">
        <v>10</v>
      </c>
      <c r="L1" s="47" t="s">
        <v>11</v>
      </c>
      <c r="M1" s="47" t="s">
        <v>12</v>
      </c>
    </row>
    <row r="2" spans="1:13" x14ac:dyDescent="0.35">
      <c r="A2" s="1" t="s">
        <v>13</v>
      </c>
      <c r="B2" s="6" t="s">
        <v>14</v>
      </c>
      <c r="C2" s="6"/>
      <c r="D2" s="6" t="s">
        <v>15</v>
      </c>
      <c r="E2" s="1" t="s">
        <v>16</v>
      </c>
      <c r="F2" s="1" t="s">
        <v>17</v>
      </c>
      <c r="G2" s="1" t="s">
        <v>18</v>
      </c>
      <c r="H2" s="2">
        <v>44</v>
      </c>
      <c r="I2" s="2">
        <v>1</v>
      </c>
      <c r="J2" s="7" t="s">
        <v>19</v>
      </c>
      <c r="K2" s="1" t="s">
        <v>20</v>
      </c>
      <c r="L2" s="1" t="s">
        <v>21</v>
      </c>
      <c r="M2" s="1" t="s">
        <v>22</v>
      </c>
    </row>
    <row r="3" spans="1:13" x14ac:dyDescent="0.35">
      <c r="A3" s="1" t="s">
        <v>23</v>
      </c>
      <c r="B3" s="6" t="s">
        <v>24</v>
      </c>
      <c r="C3" s="6" t="s">
        <v>25</v>
      </c>
      <c r="D3" s="6"/>
      <c r="E3" s="1" t="s">
        <v>26</v>
      </c>
      <c r="F3" s="1" t="s">
        <v>27</v>
      </c>
      <c r="G3" s="1" t="s">
        <v>28</v>
      </c>
      <c r="H3" s="2">
        <v>96</v>
      </c>
      <c r="I3" s="2">
        <v>4</v>
      </c>
      <c r="J3" s="7" t="s">
        <v>29</v>
      </c>
      <c r="K3" s="1" t="s">
        <v>30</v>
      </c>
      <c r="L3" s="1" t="s">
        <v>31</v>
      </c>
      <c r="M3" s="1" t="s">
        <v>22</v>
      </c>
    </row>
    <row r="4" spans="1:13" x14ac:dyDescent="0.35">
      <c r="A4" s="1" t="s">
        <v>32</v>
      </c>
      <c r="B4" s="6" t="s">
        <v>33</v>
      </c>
      <c r="C4" s="6"/>
      <c r="D4" s="6"/>
      <c r="E4" s="1" t="s">
        <v>16</v>
      </c>
      <c r="F4" s="1" t="s">
        <v>34</v>
      </c>
      <c r="G4" s="1" t="s">
        <v>35</v>
      </c>
      <c r="H4" s="2">
        <v>194</v>
      </c>
      <c r="I4" s="2">
        <v>4</v>
      </c>
      <c r="J4" s="7" t="s">
        <v>36</v>
      </c>
      <c r="K4" s="1" t="s">
        <v>30</v>
      </c>
      <c r="L4" s="1" t="s">
        <v>37</v>
      </c>
      <c r="M4" s="1" t="s">
        <v>38</v>
      </c>
    </row>
    <row r="5" spans="1:13" x14ac:dyDescent="0.35">
      <c r="A5" s="1" t="s">
        <v>39</v>
      </c>
      <c r="B5" s="6" t="s">
        <v>40</v>
      </c>
      <c r="C5" s="6"/>
      <c r="D5" s="6" t="s">
        <v>41</v>
      </c>
      <c r="E5" s="1" t="s">
        <v>42</v>
      </c>
      <c r="F5" s="1" t="s">
        <v>34</v>
      </c>
      <c r="G5" s="1" t="s">
        <v>18</v>
      </c>
      <c r="H5" s="2">
        <v>196</v>
      </c>
      <c r="I5" s="2">
        <v>3</v>
      </c>
      <c r="J5" s="7" t="s">
        <v>43</v>
      </c>
      <c r="K5" s="1" t="s">
        <v>44</v>
      </c>
      <c r="L5" s="1" t="s">
        <v>21</v>
      </c>
      <c r="M5" s="1" t="s">
        <v>45</v>
      </c>
    </row>
    <row r="6" spans="1:13" x14ac:dyDescent="0.35">
      <c r="A6" s="1" t="s">
        <v>46</v>
      </c>
      <c r="B6" s="6" t="s">
        <v>47</v>
      </c>
      <c r="C6" s="6" t="s">
        <v>48</v>
      </c>
      <c r="D6" s="6"/>
      <c r="E6" s="1" t="s">
        <v>49</v>
      </c>
      <c r="F6" s="1" t="s">
        <v>50</v>
      </c>
      <c r="G6" s="1" t="s">
        <v>18</v>
      </c>
      <c r="H6" s="2">
        <v>59</v>
      </c>
      <c r="I6" s="2">
        <v>1</v>
      </c>
      <c r="J6" s="7" t="s">
        <v>51</v>
      </c>
      <c r="K6" s="1" t="s">
        <v>44</v>
      </c>
      <c r="L6" s="1" t="s">
        <v>31</v>
      </c>
      <c r="M6" s="1" t="s">
        <v>52</v>
      </c>
    </row>
    <row r="7" spans="1:13" x14ac:dyDescent="0.35">
      <c r="A7" s="1" t="s">
        <v>53</v>
      </c>
      <c r="B7" s="6" t="s">
        <v>54</v>
      </c>
      <c r="C7" s="6"/>
      <c r="D7" s="6" t="s">
        <v>55</v>
      </c>
      <c r="E7" s="1" t="s">
        <v>56</v>
      </c>
      <c r="F7" s="1" t="s">
        <v>50</v>
      </c>
      <c r="G7" s="1" t="s">
        <v>18</v>
      </c>
      <c r="H7" s="2">
        <v>58</v>
      </c>
      <c r="I7" s="2">
        <v>4</v>
      </c>
      <c r="J7" s="7" t="s">
        <v>57</v>
      </c>
      <c r="K7" s="1" t="s">
        <v>58</v>
      </c>
      <c r="L7" s="1" t="s">
        <v>21</v>
      </c>
      <c r="M7" s="1" t="s">
        <v>22</v>
      </c>
    </row>
    <row r="8" spans="1:13" x14ac:dyDescent="0.35">
      <c r="A8" s="1" t="s">
        <v>59</v>
      </c>
      <c r="B8" s="6" t="s">
        <v>60</v>
      </c>
      <c r="C8" s="6"/>
      <c r="D8" s="6" t="s">
        <v>61</v>
      </c>
      <c r="E8" s="1" t="s">
        <v>62</v>
      </c>
      <c r="F8" s="1" t="s">
        <v>63</v>
      </c>
      <c r="G8" s="1" t="s">
        <v>64</v>
      </c>
      <c r="H8" s="2">
        <v>105</v>
      </c>
      <c r="I8" s="2">
        <v>3</v>
      </c>
      <c r="J8" s="7" t="s">
        <v>65</v>
      </c>
      <c r="K8" s="1" t="s">
        <v>66</v>
      </c>
      <c r="L8" s="1" t="s">
        <v>21</v>
      </c>
      <c r="M8" s="1" t="s">
        <v>22</v>
      </c>
    </row>
    <row r="9" spans="1:13" x14ac:dyDescent="0.35">
      <c r="A9" s="1" t="s">
        <v>67</v>
      </c>
      <c r="B9" s="6" t="s">
        <v>68</v>
      </c>
      <c r="C9" s="6"/>
      <c r="D9" s="6" t="s">
        <v>69</v>
      </c>
      <c r="E9" s="1" t="s">
        <v>70</v>
      </c>
      <c r="F9" s="1" t="s">
        <v>71</v>
      </c>
      <c r="G9" s="1" t="s">
        <v>72</v>
      </c>
      <c r="H9" s="2">
        <v>37</v>
      </c>
      <c r="I9" s="2">
        <v>5</v>
      </c>
      <c r="J9" s="7" t="s">
        <v>73</v>
      </c>
      <c r="K9" s="1" t="s">
        <v>44</v>
      </c>
      <c r="L9" s="1" t="s">
        <v>21</v>
      </c>
      <c r="M9" s="1" t="s">
        <v>22</v>
      </c>
    </row>
    <row r="10" spans="1:13" x14ac:dyDescent="0.35">
      <c r="A10" s="1" t="s">
        <v>74</v>
      </c>
      <c r="B10" s="6" t="s">
        <v>75</v>
      </c>
      <c r="C10" s="6"/>
      <c r="D10" s="6"/>
      <c r="E10" s="1" t="s">
        <v>76</v>
      </c>
      <c r="F10" s="1" t="s">
        <v>77</v>
      </c>
      <c r="G10" s="1" t="s">
        <v>64</v>
      </c>
      <c r="H10" s="2">
        <v>44</v>
      </c>
      <c r="I10" s="2">
        <v>2</v>
      </c>
      <c r="J10" s="7" t="s">
        <v>78</v>
      </c>
      <c r="K10" s="1" t="s">
        <v>30</v>
      </c>
      <c r="L10" s="1" t="s">
        <v>37</v>
      </c>
      <c r="M10" s="1" t="s">
        <v>52</v>
      </c>
    </row>
    <row r="11" spans="1:13" x14ac:dyDescent="0.35">
      <c r="A11" s="1" t="s">
        <v>79</v>
      </c>
      <c r="B11" s="6" t="s">
        <v>80</v>
      </c>
      <c r="C11" s="6"/>
      <c r="D11" s="6"/>
      <c r="E11" s="1" t="s">
        <v>70</v>
      </c>
      <c r="F11" s="1" t="s">
        <v>81</v>
      </c>
      <c r="G11" s="1" t="s">
        <v>35</v>
      </c>
      <c r="H11" s="2">
        <v>141</v>
      </c>
      <c r="I11" s="2">
        <v>4</v>
      </c>
      <c r="J11" s="7" t="s">
        <v>82</v>
      </c>
      <c r="K11" s="1" t="s">
        <v>66</v>
      </c>
      <c r="L11" s="1" t="s">
        <v>37</v>
      </c>
      <c r="M11" s="1" t="s">
        <v>22</v>
      </c>
    </row>
    <row r="12" spans="1:13" x14ac:dyDescent="0.35">
      <c r="A12" s="1" t="s">
        <v>83</v>
      </c>
      <c r="B12" s="6" t="s">
        <v>84</v>
      </c>
      <c r="C12" s="6"/>
      <c r="D12" s="6" t="s">
        <v>85</v>
      </c>
      <c r="E12" s="1" t="s">
        <v>86</v>
      </c>
      <c r="F12" s="1" t="s">
        <v>87</v>
      </c>
      <c r="G12" s="1" t="s">
        <v>35</v>
      </c>
      <c r="H12" s="2">
        <v>249</v>
      </c>
      <c r="I12" s="2">
        <v>1</v>
      </c>
      <c r="J12" s="7" t="s">
        <v>88</v>
      </c>
      <c r="K12" s="1" t="s">
        <v>58</v>
      </c>
      <c r="L12" s="1" t="s">
        <v>21</v>
      </c>
      <c r="M12" s="1" t="s">
        <v>38</v>
      </c>
    </row>
    <row r="13" spans="1:13" x14ac:dyDescent="0.35">
      <c r="A13" s="1" t="s">
        <v>89</v>
      </c>
      <c r="B13" s="6" t="s">
        <v>90</v>
      </c>
      <c r="C13" s="6"/>
      <c r="D13" s="6"/>
      <c r="E13" s="1" t="s">
        <v>91</v>
      </c>
      <c r="F13" s="1" t="s">
        <v>87</v>
      </c>
      <c r="G13" s="1" t="s">
        <v>64</v>
      </c>
      <c r="H13" s="2">
        <v>247</v>
      </c>
      <c r="I13" s="2">
        <v>3</v>
      </c>
      <c r="J13" s="7" t="s">
        <v>92</v>
      </c>
      <c r="K13" s="1" t="s">
        <v>58</v>
      </c>
      <c r="L13" s="1" t="s">
        <v>37</v>
      </c>
      <c r="M13" s="1" t="s">
        <v>93</v>
      </c>
    </row>
    <row r="14" spans="1:13" x14ac:dyDescent="0.35">
      <c r="A14" s="1" t="s">
        <v>94</v>
      </c>
      <c r="B14" s="6" t="s">
        <v>95</v>
      </c>
      <c r="C14" s="6"/>
      <c r="D14" s="6" t="s">
        <v>96</v>
      </c>
      <c r="E14" s="1" t="s">
        <v>97</v>
      </c>
      <c r="F14" s="1" t="s">
        <v>98</v>
      </c>
      <c r="G14" s="1" t="s">
        <v>64</v>
      </c>
      <c r="H14" s="2">
        <v>96</v>
      </c>
      <c r="I14" s="2">
        <v>1</v>
      </c>
      <c r="J14" s="7" t="s">
        <v>99</v>
      </c>
      <c r="K14" s="1" t="s">
        <v>20</v>
      </c>
      <c r="L14" s="1" t="s">
        <v>21</v>
      </c>
      <c r="M14" s="1" t="s">
        <v>52</v>
      </c>
    </row>
    <row r="15" spans="1:13" x14ac:dyDescent="0.35">
      <c r="A15" s="1" t="s">
        <v>100</v>
      </c>
      <c r="B15" s="6" t="s">
        <v>25</v>
      </c>
      <c r="C15" s="6"/>
      <c r="D15" s="6" t="s">
        <v>95</v>
      </c>
      <c r="E15" s="1" t="s">
        <v>101</v>
      </c>
      <c r="F15" s="1" t="s">
        <v>102</v>
      </c>
      <c r="G15" s="1" t="s">
        <v>72</v>
      </c>
      <c r="H15" s="2">
        <v>74</v>
      </c>
      <c r="I15" s="2">
        <v>5</v>
      </c>
      <c r="J15" s="7" t="s">
        <v>103</v>
      </c>
      <c r="K15" s="1" t="s">
        <v>20</v>
      </c>
      <c r="L15" s="1" t="s">
        <v>21</v>
      </c>
      <c r="M15" s="1" t="s">
        <v>52</v>
      </c>
    </row>
    <row r="16" spans="1:13" x14ac:dyDescent="0.35">
      <c r="A16" s="1" t="s">
        <v>104</v>
      </c>
      <c r="B16" s="6" t="s">
        <v>105</v>
      </c>
      <c r="C16" s="6"/>
      <c r="D16" s="6" t="s">
        <v>106</v>
      </c>
      <c r="E16" s="1" t="s">
        <v>101</v>
      </c>
      <c r="F16" s="1" t="s">
        <v>107</v>
      </c>
      <c r="G16" s="1" t="s">
        <v>35</v>
      </c>
      <c r="H16" s="2">
        <v>27</v>
      </c>
      <c r="I16" s="2">
        <v>1</v>
      </c>
      <c r="J16" s="7" t="s">
        <v>108</v>
      </c>
      <c r="K16" s="1" t="s">
        <v>30</v>
      </c>
      <c r="L16" s="1" t="s">
        <v>21</v>
      </c>
      <c r="M16" s="1" t="s">
        <v>52</v>
      </c>
    </row>
    <row r="17" spans="1:13" x14ac:dyDescent="0.35">
      <c r="A17" s="1" t="s">
        <v>109</v>
      </c>
      <c r="B17" s="6" t="s">
        <v>110</v>
      </c>
      <c r="C17" s="6"/>
      <c r="D17" s="6"/>
      <c r="E17" s="1" t="s">
        <v>111</v>
      </c>
      <c r="F17" s="1" t="s">
        <v>107</v>
      </c>
      <c r="G17" s="1" t="s">
        <v>35</v>
      </c>
      <c r="H17" s="2">
        <v>27</v>
      </c>
      <c r="I17" s="2">
        <v>3</v>
      </c>
      <c r="J17" s="7" t="s">
        <v>112</v>
      </c>
      <c r="K17" s="1" t="s">
        <v>66</v>
      </c>
      <c r="L17" s="1" t="s">
        <v>37</v>
      </c>
      <c r="M17" s="1" t="s">
        <v>52</v>
      </c>
    </row>
    <row r="18" spans="1:13" x14ac:dyDescent="0.35">
      <c r="A18" s="1" t="s">
        <v>113</v>
      </c>
      <c r="B18" s="6" t="s">
        <v>114</v>
      </c>
      <c r="C18" s="6" t="s">
        <v>115</v>
      </c>
      <c r="D18" s="6"/>
      <c r="E18" s="1" t="s">
        <v>91</v>
      </c>
      <c r="F18" s="1" t="s">
        <v>116</v>
      </c>
      <c r="G18" s="1" t="s">
        <v>28</v>
      </c>
      <c r="H18" s="2">
        <v>21</v>
      </c>
      <c r="I18" s="2">
        <v>3</v>
      </c>
      <c r="J18" s="7" t="s">
        <v>117</v>
      </c>
      <c r="K18" s="1" t="s">
        <v>30</v>
      </c>
      <c r="L18" s="1" t="s">
        <v>31</v>
      </c>
      <c r="M18" s="1" t="s">
        <v>22</v>
      </c>
    </row>
    <row r="19" spans="1:13" x14ac:dyDescent="0.35">
      <c r="A19" s="1" t="s">
        <v>118</v>
      </c>
      <c r="B19" s="6" t="s">
        <v>119</v>
      </c>
      <c r="C19" s="6"/>
      <c r="D19" s="6"/>
      <c r="E19" s="1" t="s">
        <v>120</v>
      </c>
      <c r="F19" s="1" t="s">
        <v>121</v>
      </c>
      <c r="G19" s="1" t="s">
        <v>72</v>
      </c>
      <c r="H19" s="2">
        <v>70</v>
      </c>
      <c r="I19" s="2">
        <v>5</v>
      </c>
      <c r="J19" s="7" t="s">
        <v>122</v>
      </c>
      <c r="K19" s="1" t="s">
        <v>44</v>
      </c>
      <c r="L19" s="1" t="s">
        <v>37</v>
      </c>
      <c r="M19" s="1" t="s">
        <v>52</v>
      </c>
    </row>
    <row r="20" spans="1:13" x14ac:dyDescent="0.35">
      <c r="A20" s="1" t="s">
        <v>123</v>
      </c>
      <c r="B20" s="6" t="s">
        <v>124</v>
      </c>
      <c r="C20" s="6"/>
      <c r="D20" s="6"/>
      <c r="E20" s="1" t="s">
        <v>125</v>
      </c>
      <c r="F20" s="1" t="s">
        <v>98</v>
      </c>
      <c r="G20" s="1" t="s">
        <v>35</v>
      </c>
      <c r="H20" s="2">
        <v>94</v>
      </c>
      <c r="I20" s="2">
        <v>4</v>
      </c>
      <c r="J20" s="7" t="s">
        <v>126</v>
      </c>
      <c r="K20" s="1" t="s">
        <v>30</v>
      </c>
      <c r="L20" s="1" t="s">
        <v>37</v>
      </c>
      <c r="M20" s="1" t="s">
        <v>38</v>
      </c>
    </row>
    <row r="21" spans="1:13" x14ac:dyDescent="0.35">
      <c r="A21" s="1" t="s">
        <v>127</v>
      </c>
      <c r="B21" s="6" t="s">
        <v>128</v>
      </c>
      <c r="C21" s="6"/>
      <c r="D21" s="6"/>
      <c r="E21" s="1" t="s">
        <v>129</v>
      </c>
      <c r="F21" s="1" t="s">
        <v>130</v>
      </c>
      <c r="G21" s="1" t="s">
        <v>18</v>
      </c>
      <c r="H21" s="2">
        <v>813</v>
      </c>
      <c r="I21" s="2">
        <v>2</v>
      </c>
      <c r="J21" s="7" t="s">
        <v>131</v>
      </c>
      <c r="K21" s="1" t="s">
        <v>30</v>
      </c>
      <c r="L21" s="1" t="s">
        <v>37</v>
      </c>
      <c r="M21" s="1" t="s">
        <v>93</v>
      </c>
    </row>
    <row r="22" spans="1:13" x14ac:dyDescent="0.35">
      <c r="A22" s="1" t="s">
        <v>132</v>
      </c>
      <c r="B22" s="6" t="s">
        <v>133</v>
      </c>
      <c r="C22" s="6"/>
      <c r="D22" s="6"/>
      <c r="E22" s="1" t="s">
        <v>76</v>
      </c>
      <c r="F22" s="1" t="s">
        <v>116</v>
      </c>
      <c r="G22" s="1" t="s">
        <v>64</v>
      </c>
      <c r="H22" s="2">
        <v>21</v>
      </c>
      <c r="I22" s="2">
        <v>4</v>
      </c>
      <c r="J22" s="7" t="s">
        <v>134</v>
      </c>
      <c r="K22" s="1" t="s">
        <v>44</v>
      </c>
      <c r="L22" s="1" t="s">
        <v>37</v>
      </c>
      <c r="M22" s="1" t="s">
        <v>52</v>
      </c>
    </row>
    <row r="23" spans="1:13" x14ac:dyDescent="0.35">
      <c r="A23" s="1" t="s">
        <v>135</v>
      </c>
      <c r="B23" s="6" t="s">
        <v>136</v>
      </c>
      <c r="C23" s="6"/>
      <c r="D23" s="6"/>
      <c r="E23" s="1" t="s">
        <v>97</v>
      </c>
      <c r="F23" s="1" t="s">
        <v>17</v>
      </c>
      <c r="G23" s="1" t="s">
        <v>72</v>
      </c>
      <c r="H23" s="2">
        <v>46</v>
      </c>
      <c r="I23" s="2">
        <v>5</v>
      </c>
      <c r="J23" s="7" t="s">
        <v>137</v>
      </c>
      <c r="K23" s="1" t="s">
        <v>44</v>
      </c>
      <c r="L23" s="1" t="s">
        <v>37</v>
      </c>
      <c r="M23" s="1" t="s">
        <v>38</v>
      </c>
    </row>
    <row r="24" spans="1:13" x14ac:dyDescent="0.35">
      <c r="A24" s="1" t="s">
        <v>138</v>
      </c>
      <c r="B24" s="6" t="s">
        <v>110</v>
      </c>
      <c r="C24" s="6"/>
      <c r="D24" s="6" t="s">
        <v>139</v>
      </c>
      <c r="E24" s="1" t="s">
        <v>140</v>
      </c>
      <c r="F24" s="1" t="s">
        <v>50</v>
      </c>
      <c r="G24" s="1" t="s">
        <v>72</v>
      </c>
      <c r="H24" s="2">
        <v>58</v>
      </c>
      <c r="I24" s="2">
        <v>3</v>
      </c>
      <c r="J24" s="7" t="s">
        <v>141</v>
      </c>
      <c r="K24" s="1" t="s">
        <v>58</v>
      </c>
      <c r="L24" s="1" t="s">
        <v>21</v>
      </c>
      <c r="M24" s="1" t="s">
        <v>52</v>
      </c>
    </row>
    <row r="25" spans="1:13" x14ac:dyDescent="0.35">
      <c r="A25" s="1" t="s">
        <v>142</v>
      </c>
      <c r="B25" s="6" t="s">
        <v>55</v>
      </c>
      <c r="C25" s="6" t="s">
        <v>143</v>
      </c>
      <c r="D25" s="6"/>
      <c r="E25" s="1" t="s">
        <v>144</v>
      </c>
      <c r="F25" s="1" t="s">
        <v>98</v>
      </c>
      <c r="G25" s="1" t="s">
        <v>72</v>
      </c>
      <c r="H25" s="2">
        <v>96</v>
      </c>
      <c r="I25" s="2">
        <v>5</v>
      </c>
      <c r="J25" s="7" t="s">
        <v>145</v>
      </c>
      <c r="K25" s="1" t="s">
        <v>58</v>
      </c>
      <c r="L25" s="1" t="s">
        <v>31</v>
      </c>
      <c r="M25" s="1" t="s">
        <v>52</v>
      </c>
    </row>
    <row r="26" spans="1:13" x14ac:dyDescent="0.35">
      <c r="A26" s="1" t="s">
        <v>146</v>
      </c>
      <c r="B26" s="6" t="s">
        <v>147</v>
      </c>
      <c r="C26" s="6" t="s">
        <v>148</v>
      </c>
      <c r="D26" s="6"/>
      <c r="E26" s="1" t="s">
        <v>149</v>
      </c>
      <c r="F26" s="1" t="s">
        <v>150</v>
      </c>
      <c r="G26" s="1" t="s">
        <v>35</v>
      </c>
      <c r="H26" s="2">
        <v>43</v>
      </c>
      <c r="I26" s="2">
        <v>1</v>
      </c>
      <c r="J26" s="7" t="s">
        <v>151</v>
      </c>
      <c r="K26" s="1" t="s">
        <v>66</v>
      </c>
      <c r="L26" s="1" t="s">
        <v>31</v>
      </c>
      <c r="M26" s="1" t="s">
        <v>52</v>
      </c>
    </row>
    <row r="27" spans="1:13" x14ac:dyDescent="0.35">
      <c r="A27" s="1" t="s">
        <v>152</v>
      </c>
      <c r="B27" s="6" t="s">
        <v>153</v>
      </c>
      <c r="C27" s="6" t="s">
        <v>154</v>
      </c>
      <c r="D27" s="6"/>
      <c r="E27" s="1" t="s">
        <v>49</v>
      </c>
      <c r="F27" s="1" t="s">
        <v>155</v>
      </c>
      <c r="G27" s="1" t="s">
        <v>35</v>
      </c>
      <c r="H27" s="2">
        <v>64</v>
      </c>
      <c r="I27" s="2">
        <v>4</v>
      </c>
      <c r="J27" s="7" t="s">
        <v>156</v>
      </c>
      <c r="K27" s="1" t="s">
        <v>66</v>
      </c>
      <c r="L27" s="1" t="s">
        <v>31</v>
      </c>
      <c r="M27" s="1" t="s">
        <v>38</v>
      </c>
    </row>
    <row r="28" spans="1:13" x14ac:dyDescent="0.35">
      <c r="A28" s="1" t="s">
        <v>157</v>
      </c>
      <c r="B28" s="6" t="s">
        <v>158</v>
      </c>
      <c r="C28" s="6"/>
      <c r="D28" s="6"/>
      <c r="E28" s="1" t="s">
        <v>159</v>
      </c>
      <c r="F28" s="1" t="s">
        <v>121</v>
      </c>
      <c r="G28" s="1" t="s">
        <v>35</v>
      </c>
      <c r="H28" s="2">
        <v>70</v>
      </c>
      <c r="I28" s="2">
        <v>2</v>
      </c>
      <c r="J28" s="7" t="s">
        <v>160</v>
      </c>
      <c r="K28" s="1" t="s">
        <v>58</v>
      </c>
      <c r="L28" s="1" t="s">
        <v>37</v>
      </c>
      <c r="M28" s="1" t="s">
        <v>52</v>
      </c>
    </row>
    <row r="29" spans="1:13" x14ac:dyDescent="0.35">
      <c r="A29" s="1" t="s">
        <v>161</v>
      </c>
      <c r="B29" s="6" t="s">
        <v>162</v>
      </c>
      <c r="C29" s="6"/>
      <c r="D29" s="6"/>
      <c r="E29" s="1" t="s">
        <v>159</v>
      </c>
      <c r="F29" s="1" t="s">
        <v>27</v>
      </c>
      <c r="G29" s="1" t="s">
        <v>64</v>
      </c>
      <c r="H29" s="2">
        <v>97</v>
      </c>
      <c r="I29" s="2">
        <v>3</v>
      </c>
      <c r="J29" s="7" t="s">
        <v>163</v>
      </c>
      <c r="K29" s="1" t="s">
        <v>30</v>
      </c>
      <c r="L29" s="1" t="s">
        <v>37</v>
      </c>
      <c r="M29" s="1" t="s">
        <v>52</v>
      </c>
    </row>
    <row r="30" spans="1:13" x14ac:dyDescent="0.35">
      <c r="A30" s="1" t="s">
        <v>164</v>
      </c>
      <c r="B30" s="6" t="s">
        <v>165</v>
      </c>
      <c r="C30" s="6"/>
      <c r="D30" s="6" t="s">
        <v>166</v>
      </c>
      <c r="E30" s="1" t="s">
        <v>167</v>
      </c>
      <c r="F30" s="1" t="s">
        <v>71</v>
      </c>
      <c r="G30" s="1" t="s">
        <v>28</v>
      </c>
      <c r="H30" s="2">
        <v>37</v>
      </c>
      <c r="I30" s="2">
        <v>3</v>
      </c>
      <c r="J30" s="7" t="s">
        <v>168</v>
      </c>
      <c r="K30" s="1" t="s">
        <v>20</v>
      </c>
      <c r="L30" s="1" t="s">
        <v>21</v>
      </c>
      <c r="M30" s="1" t="s">
        <v>22</v>
      </c>
    </row>
    <row r="31" spans="1:13" x14ac:dyDescent="0.35">
      <c r="A31" s="1" t="s">
        <v>169</v>
      </c>
      <c r="B31" s="6" t="s">
        <v>139</v>
      </c>
      <c r="C31" s="6"/>
      <c r="D31" s="6"/>
      <c r="E31" s="1" t="s">
        <v>170</v>
      </c>
      <c r="F31" s="1" t="s">
        <v>121</v>
      </c>
      <c r="G31" s="1" t="s">
        <v>18</v>
      </c>
      <c r="H31" s="2">
        <v>69</v>
      </c>
      <c r="I31" s="2">
        <v>5</v>
      </c>
      <c r="J31" s="7" t="s">
        <v>171</v>
      </c>
      <c r="K31" s="1" t="s">
        <v>58</v>
      </c>
      <c r="L31" s="1" t="s">
        <v>37</v>
      </c>
      <c r="M31" s="1" t="s">
        <v>52</v>
      </c>
    </row>
    <row r="32" spans="1:13" x14ac:dyDescent="0.35">
      <c r="A32" s="1" t="s">
        <v>172</v>
      </c>
      <c r="B32" s="6" t="s">
        <v>173</v>
      </c>
      <c r="C32" s="6"/>
      <c r="D32" s="6"/>
      <c r="E32" s="1" t="s">
        <v>174</v>
      </c>
      <c r="F32" s="1" t="s">
        <v>150</v>
      </c>
      <c r="G32" s="1" t="s">
        <v>18</v>
      </c>
      <c r="H32" s="2">
        <v>42</v>
      </c>
      <c r="I32" s="2">
        <v>5</v>
      </c>
      <c r="J32" s="7" t="s">
        <v>175</v>
      </c>
      <c r="K32" s="1" t="s">
        <v>58</v>
      </c>
      <c r="L32" s="1" t="s">
        <v>37</v>
      </c>
      <c r="M32" s="1" t="s">
        <v>45</v>
      </c>
    </row>
    <row r="33" spans="1:13" x14ac:dyDescent="0.35">
      <c r="A33" s="1" t="s">
        <v>176</v>
      </c>
      <c r="B33" s="6" t="s">
        <v>177</v>
      </c>
      <c r="C33" s="6"/>
      <c r="D33" s="6" t="s">
        <v>178</v>
      </c>
      <c r="E33" s="1" t="s">
        <v>179</v>
      </c>
      <c r="F33" s="1" t="s">
        <v>180</v>
      </c>
      <c r="G33" s="1" t="s">
        <v>28</v>
      </c>
      <c r="H33" s="2">
        <v>11</v>
      </c>
      <c r="I33" s="2">
        <v>5</v>
      </c>
      <c r="J33" s="7" t="s">
        <v>181</v>
      </c>
      <c r="K33" s="1" t="s">
        <v>66</v>
      </c>
      <c r="L33" s="1" t="s">
        <v>21</v>
      </c>
      <c r="M33" s="1" t="s">
        <v>93</v>
      </c>
    </row>
    <row r="34" spans="1:13" x14ac:dyDescent="0.35">
      <c r="A34" s="1" t="s">
        <v>182</v>
      </c>
      <c r="B34" s="6" t="s">
        <v>183</v>
      </c>
      <c r="C34" s="6" t="s">
        <v>184</v>
      </c>
      <c r="D34" s="6"/>
      <c r="E34" s="1" t="s">
        <v>140</v>
      </c>
      <c r="F34" s="1" t="s">
        <v>107</v>
      </c>
      <c r="G34" s="1" t="s">
        <v>35</v>
      </c>
      <c r="H34" s="2">
        <v>27</v>
      </c>
      <c r="I34" s="2">
        <v>2</v>
      </c>
      <c r="J34" s="7" t="s">
        <v>185</v>
      </c>
      <c r="K34" s="1" t="s">
        <v>20</v>
      </c>
      <c r="L34" s="1" t="s">
        <v>31</v>
      </c>
      <c r="M34" s="1" t="s">
        <v>38</v>
      </c>
    </row>
    <row r="35" spans="1:13" x14ac:dyDescent="0.35">
      <c r="A35" s="1" t="s">
        <v>186</v>
      </c>
      <c r="B35" s="6" t="s">
        <v>187</v>
      </c>
      <c r="C35" s="6"/>
      <c r="D35" s="6"/>
      <c r="E35" s="1" t="s">
        <v>129</v>
      </c>
      <c r="F35" s="1" t="s">
        <v>116</v>
      </c>
      <c r="G35" s="1" t="s">
        <v>35</v>
      </c>
      <c r="H35" s="2">
        <v>21</v>
      </c>
      <c r="I35" s="2">
        <v>1</v>
      </c>
      <c r="J35" s="7" t="s">
        <v>188</v>
      </c>
      <c r="K35" s="1" t="s">
        <v>58</v>
      </c>
      <c r="L35" s="1" t="s">
        <v>37</v>
      </c>
      <c r="M35" s="1" t="s">
        <v>22</v>
      </c>
    </row>
    <row r="36" spans="1:13" x14ac:dyDescent="0.35">
      <c r="A36" s="1" t="s">
        <v>189</v>
      </c>
      <c r="B36" s="6" t="s">
        <v>190</v>
      </c>
      <c r="C36" s="6" t="s">
        <v>191</v>
      </c>
      <c r="D36" s="6"/>
      <c r="E36" s="1" t="s">
        <v>192</v>
      </c>
      <c r="F36" s="1" t="s">
        <v>193</v>
      </c>
      <c r="G36" s="1" t="s">
        <v>35</v>
      </c>
      <c r="H36" s="2">
        <v>172</v>
      </c>
      <c r="I36" s="2">
        <v>1</v>
      </c>
      <c r="J36" s="7" t="s">
        <v>194</v>
      </c>
      <c r="K36" s="1" t="s">
        <v>44</v>
      </c>
      <c r="L36" s="1" t="s">
        <v>31</v>
      </c>
      <c r="M36" s="1" t="s">
        <v>38</v>
      </c>
    </row>
    <row r="37" spans="1:13" x14ac:dyDescent="0.35">
      <c r="A37" s="1" t="s">
        <v>195</v>
      </c>
      <c r="B37" s="6" t="s">
        <v>196</v>
      </c>
      <c r="C37" s="6"/>
      <c r="D37" s="6"/>
      <c r="E37" s="1" t="s">
        <v>174</v>
      </c>
      <c r="F37" s="1" t="s">
        <v>197</v>
      </c>
      <c r="G37" s="1" t="s">
        <v>18</v>
      </c>
      <c r="H37" s="2">
        <v>212</v>
      </c>
      <c r="I37" s="2">
        <v>3</v>
      </c>
      <c r="J37" s="7" t="s">
        <v>198</v>
      </c>
      <c r="K37" s="1" t="s">
        <v>58</v>
      </c>
      <c r="L37" s="1" t="s">
        <v>37</v>
      </c>
      <c r="M37" s="1" t="s">
        <v>45</v>
      </c>
    </row>
    <row r="38" spans="1:13" x14ac:dyDescent="0.35">
      <c r="A38" s="1" t="s">
        <v>199</v>
      </c>
      <c r="B38" s="6" t="s">
        <v>200</v>
      </c>
      <c r="C38" s="6" t="s">
        <v>201</v>
      </c>
      <c r="D38" s="6"/>
      <c r="E38" s="1" t="s">
        <v>42</v>
      </c>
      <c r="F38" s="1" t="s">
        <v>150</v>
      </c>
      <c r="G38" s="1" t="s">
        <v>28</v>
      </c>
      <c r="H38" s="2">
        <v>41</v>
      </c>
      <c r="I38" s="2">
        <v>4</v>
      </c>
      <c r="J38" s="7" t="s">
        <v>202</v>
      </c>
      <c r="K38" s="1" t="s">
        <v>30</v>
      </c>
      <c r="L38" s="1" t="s">
        <v>31</v>
      </c>
      <c r="M38" s="1" t="s">
        <v>52</v>
      </c>
    </row>
    <row r="39" spans="1:13" x14ac:dyDescent="0.35">
      <c r="A39" s="1" t="s">
        <v>203</v>
      </c>
      <c r="B39" s="6" t="s">
        <v>204</v>
      </c>
      <c r="C39" s="6"/>
      <c r="D39" s="6" t="s">
        <v>205</v>
      </c>
      <c r="E39" s="1" t="s">
        <v>144</v>
      </c>
      <c r="F39" s="1" t="s">
        <v>206</v>
      </c>
      <c r="G39" s="1" t="s">
        <v>18</v>
      </c>
      <c r="H39" s="2">
        <v>32</v>
      </c>
      <c r="I39" s="2">
        <v>2</v>
      </c>
      <c r="J39" s="7" t="s">
        <v>207</v>
      </c>
      <c r="K39" s="1" t="s">
        <v>66</v>
      </c>
      <c r="L39" s="1" t="s">
        <v>21</v>
      </c>
      <c r="M39" s="1" t="s">
        <v>93</v>
      </c>
    </row>
    <row r="40" spans="1:13" x14ac:dyDescent="0.35">
      <c r="A40" s="1" t="s">
        <v>208</v>
      </c>
      <c r="B40" s="6" t="s">
        <v>209</v>
      </c>
      <c r="C40" s="6"/>
      <c r="D40" s="6"/>
      <c r="E40" s="1" t="s">
        <v>210</v>
      </c>
      <c r="F40" s="1" t="s">
        <v>155</v>
      </c>
      <c r="G40" s="1" t="s">
        <v>28</v>
      </c>
      <c r="H40" s="2">
        <v>66</v>
      </c>
      <c r="I40" s="2">
        <v>2</v>
      </c>
      <c r="J40" s="7" t="s">
        <v>211</v>
      </c>
      <c r="K40" s="1" t="s">
        <v>20</v>
      </c>
      <c r="L40" s="1" t="s">
        <v>37</v>
      </c>
      <c r="M40" s="1" t="s">
        <v>22</v>
      </c>
    </row>
    <row r="41" spans="1:13" x14ac:dyDescent="0.35">
      <c r="A41" s="1" t="s">
        <v>212</v>
      </c>
      <c r="B41" s="6" t="s">
        <v>213</v>
      </c>
      <c r="C41" s="6"/>
      <c r="D41" s="6"/>
      <c r="E41" s="1" t="s">
        <v>214</v>
      </c>
      <c r="F41" s="1" t="s">
        <v>215</v>
      </c>
      <c r="G41" s="1" t="s">
        <v>28</v>
      </c>
      <c r="H41" s="2">
        <v>62</v>
      </c>
      <c r="I41" s="2">
        <v>4</v>
      </c>
      <c r="J41" s="7" t="s">
        <v>216</v>
      </c>
      <c r="K41" s="1" t="s">
        <v>66</v>
      </c>
      <c r="L41" s="1" t="s">
        <v>37</v>
      </c>
      <c r="M41" s="1" t="s">
        <v>45</v>
      </c>
    </row>
    <row r="42" spans="1:13" x14ac:dyDescent="0.35">
      <c r="A42" s="1" t="s">
        <v>217</v>
      </c>
      <c r="B42" s="6" t="s">
        <v>218</v>
      </c>
      <c r="C42" s="6" t="s">
        <v>219</v>
      </c>
      <c r="D42" s="6"/>
      <c r="E42" s="1" t="s">
        <v>220</v>
      </c>
      <c r="F42" s="1" t="s">
        <v>193</v>
      </c>
      <c r="G42" s="1" t="s">
        <v>72</v>
      </c>
      <c r="H42" s="2">
        <v>173</v>
      </c>
      <c r="I42" s="2">
        <v>4</v>
      </c>
      <c r="J42" s="7" t="s">
        <v>221</v>
      </c>
      <c r="K42" s="1" t="s">
        <v>20</v>
      </c>
      <c r="L42" s="1" t="s">
        <v>31</v>
      </c>
      <c r="M42" s="1" t="s">
        <v>45</v>
      </c>
    </row>
    <row r="43" spans="1:13" x14ac:dyDescent="0.35">
      <c r="A43" s="1" t="s">
        <v>222</v>
      </c>
      <c r="B43" s="6" t="s">
        <v>223</v>
      </c>
      <c r="C43" s="6" t="s">
        <v>224</v>
      </c>
      <c r="D43" s="6"/>
      <c r="E43" s="1" t="s">
        <v>167</v>
      </c>
      <c r="F43" s="1" t="s">
        <v>215</v>
      </c>
      <c r="G43" s="1" t="s">
        <v>72</v>
      </c>
      <c r="H43" s="2">
        <v>63</v>
      </c>
      <c r="I43" s="2">
        <v>3</v>
      </c>
      <c r="J43" s="7" t="s">
        <v>225</v>
      </c>
      <c r="K43" s="1" t="s">
        <v>20</v>
      </c>
      <c r="L43" s="1" t="s">
        <v>31</v>
      </c>
      <c r="M43" s="1" t="s">
        <v>45</v>
      </c>
    </row>
    <row r="44" spans="1:13" x14ac:dyDescent="0.35">
      <c r="A44" s="1" t="s">
        <v>226</v>
      </c>
      <c r="B44" s="6" t="s">
        <v>48</v>
      </c>
      <c r="C44" s="6"/>
      <c r="D44" s="6" t="s">
        <v>227</v>
      </c>
      <c r="E44" s="1" t="s">
        <v>149</v>
      </c>
      <c r="F44" s="1" t="s">
        <v>71</v>
      </c>
      <c r="G44" s="1" t="s">
        <v>72</v>
      </c>
      <c r="H44" s="2">
        <v>36</v>
      </c>
      <c r="I44" s="2">
        <v>3</v>
      </c>
      <c r="J44" s="7" t="s">
        <v>228</v>
      </c>
      <c r="K44" s="1" t="s">
        <v>66</v>
      </c>
      <c r="L44" s="1" t="s">
        <v>21</v>
      </c>
      <c r="M44" s="1" t="s">
        <v>38</v>
      </c>
    </row>
    <row r="45" spans="1:13" x14ac:dyDescent="0.35">
      <c r="A45" s="1" t="s">
        <v>229</v>
      </c>
      <c r="B45" s="6" t="s">
        <v>230</v>
      </c>
      <c r="C45" s="6"/>
      <c r="D45" s="6" t="s">
        <v>231</v>
      </c>
      <c r="E45" s="1" t="s">
        <v>214</v>
      </c>
      <c r="F45" s="1" t="s">
        <v>215</v>
      </c>
      <c r="G45" s="1" t="s">
        <v>64</v>
      </c>
      <c r="H45" s="2">
        <v>62</v>
      </c>
      <c r="I45" s="2">
        <v>1</v>
      </c>
      <c r="J45" s="7" t="s">
        <v>232</v>
      </c>
      <c r="K45" s="1" t="s">
        <v>20</v>
      </c>
      <c r="L45" s="1" t="s">
        <v>21</v>
      </c>
      <c r="M45" s="1" t="s">
        <v>52</v>
      </c>
    </row>
    <row r="46" spans="1:13" x14ac:dyDescent="0.35">
      <c r="A46" s="1" t="s">
        <v>233</v>
      </c>
      <c r="B46" s="6" t="s">
        <v>234</v>
      </c>
      <c r="C46" s="6"/>
      <c r="D46" s="6" t="s">
        <v>235</v>
      </c>
      <c r="E46" s="1" t="s">
        <v>62</v>
      </c>
      <c r="F46" s="1" t="s">
        <v>81</v>
      </c>
      <c r="G46" s="1" t="s">
        <v>64</v>
      </c>
      <c r="H46" s="2">
        <v>137</v>
      </c>
      <c r="I46" s="2">
        <v>5</v>
      </c>
      <c r="J46" s="7" t="s">
        <v>236</v>
      </c>
      <c r="K46" s="1" t="s">
        <v>58</v>
      </c>
      <c r="L46" s="1" t="s">
        <v>21</v>
      </c>
      <c r="M46" s="1" t="s">
        <v>93</v>
      </c>
    </row>
    <row r="47" spans="1:13" x14ac:dyDescent="0.35">
      <c r="A47" s="1" t="s">
        <v>237</v>
      </c>
      <c r="B47" s="6" t="s">
        <v>238</v>
      </c>
      <c r="C47" s="6" t="s">
        <v>239</v>
      </c>
      <c r="D47" s="6"/>
      <c r="E47" s="1" t="s">
        <v>240</v>
      </c>
      <c r="F47" s="1" t="s">
        <v>102</v>
      </c>
      <c r="G47" s="1" t="s">
        <v>18</v>
      </c>
      <c r="H47" s="2">
        <v>73</v>
      </c>
      <c r="I47" s="2">
        <v>4</v>
      </c>
      <c r="J47" s="7" t="s">
        <v>241</v>
      </c>
      <c r="K47" s="1" t="s">
        <v>30</v>
      </c>
      <c r="L47" s="1" t="s">
        <v>31</v>
      </c>
      <c r="M47" s="1" t="s">
        <v>52</v>
      </c>
    </row>
    <row r="48" spans="1:13" x14ac:dyDescent="0.35">
      <c r="A48" s="1" t="s">
        <v>242</v>
      </c>
      <c r="B48" s="6" t="s">
        <v>243</v>
      </c>
      <c r="C48" s="6" t="s">
        <v>244</v>
      </c>
      <c r="D48" s="6"/>
      <c r="E48" s="1" t="s">
        <v>125</v>
      </c>
      <c r="F48" s="1" t="s">
        <v>63</v>
      </c>
      <c r="G48" s="1" t="s">
        <v>18</v>
      </c>
      <c r="H48" s="2">
        <v>104</v>
      </c>
      <c r="I48" s="2">
        <v>1</v>
      </c>
      <c r="J48" s="7" t="s">
        <v>245</v>
      </c>
      <c r="K48" s="1" t="s">
        <v>44</v>
      </c>
      <c r="L48" s="1" t="s">
        <v>31</v>
      </c>
      <c r="M48" s="1" t="s">
        <v>52</v>
      </c>
    </row>
    <row r="49" spans="1:13" x14ac:dyDescent="0.35">
      <c r="A49" s="1" t="s">
        <v>246</v>
      </c>
      <c r="B49" s="6" t="s">
        <v>247</v>
      </c>
      <c r="C49" s="6" t="s">
        <v>248</v>
      </c>
      <c r="D49" s="6"/>
      <c r="E49" s="1" t="s">
        <v>42</v>
      </c>
      <c r="F49" s="1" t="s">
        <v>98</v>
      </c>
      <c r="G49" s="1" t="s">
        <v>28</v>
      </c>
      <c r="H49" s="2">
        <v>97</v>
      </c>
      <c r="I49" s="2">
        <v>1</v>
      </c>
      <c r="J49" s="7" t="s">
        <v>249</v>
      </c>
      <c r="K49" s="1" t="s">
        <v>58</v>
      </c>
      <c r="L49" s="1" t="s">
        <v>31</v>
      </c>
      <c r="M49" s="1" t="s">
        <v>93</v>
      </c>
    </row>
    <row r="50" spans="1:13" x14ac:dyDescent="0.35">
      <c r="A50" s="1" t="s">
        <v>250</v>
      </c>
      <c r="B50" s="6" t="s">
        <v>251</v>
      </c>
      <c r="C50" s="6"/>
      <c r="D50" s="6"/>
      <c r="E50" s="1" t="s">
        <v>252</v>
      </c>
      <c r="F50" s="1" t="s">
        <v>102</v>
      </c>
      <c r="G50" s="1" t="s">
        <v>35</v>
      </c>
      <c r="H50" s="2">
        <v>73</v>
      </c>
      <c r="I50" s="2">
        <v>5</v>
      </c>
      <c r="J50" s="7" t="s">
        <v>253</v>
      </c>
      <c r="K50" s="1" t="s">
        <v>20</v>
      </c>
      <c r="L50" s="1" t="s">
        <v>37</v>
      </c>
      <c r="M50" s="1" t="s">
        <v>52</v>
      </c>
    </row>
    <row r="51" spans="1:13" x14ac:dyDescent="0.35">
      <c r="A51" s="1" t="s">
        <v>254</v>
      </c>
      <c r="B51" s="6" t="s">
        <v>255</v>
      </c>
      <c r="C51" s="6" t="s">
        <v>256</v>
      </c>
      <c r="D51" s="6"/>
      <c r="E51" s="1" t="s">
        <v>149</v>
      </c>
      <c r="F51" s="1" t="s">
        <v>107</v>
      </c>
      <c r="G51" s="1" t="s">
        <v>28</v>
      </c>
      <c r="H51" s="2">
        <v>27</v>
      </c>
      <c r="I51" s="2">
        <v>3</v>
      </c>
      <c r="J51" s="7" t="s">
        <v>112</v>
      </c>
      <c r="K51" s="1" t="s">
        <v>58</v>
      </c>
      <c r="L51" s="1" t="s">
        <v>31</v>
      </c>
      <c r="M51" s="1" t="s">
        <v>45</v>
      </c>
    </row>
    <row r="52" spans="1:13" x14ac:dyDescent="0.35">
      <c r="A52" s="1" t="s">
        <v>257</v>
      </c>
      <c r="B52" s="6" t="s">
        <v>133</v>
      </c>
      <c r="C52" s="6"/>
      <c r="D52" s="6"/>
      <c r="E52" s="1" t="s">
        <v>125</v>
      </c>
      <c r="F52" s="1" t="s">
        <v>71</v>
      </c>
      <c r="G52" s="1" t="s">
        <v>18</v>
      </c>
      <c r="H52" s="2">
        <v>37</v>
      </c>
      <c r="I52" s="2">
        <v>1</v>
      </c>
      <c r="J52" s="7" t="s">
        <v>258</v>
      </c>
      <c r="K52" s="1" t="s">
        <v>20</v>
      </c>
      <c r="L52" s="1" t="s">
        <v>37</v>
      </c>
      <c r="M52" s="1" t="s">
        <v>45</v>
      </c>
    </row>
    <row r="53" spans="1:13" x14ac:dyDescent="0.35">
      <c r="A53" s="1" t="s">
        <v>259</v>
      </c>
      <c r="B53" s="6" t="s">
        <v>260</v>
      </c>
      <c r="C53" s="6" t="s">
        <v>261</v>
      </c>
      <c r="D53" s="6"/>
      <c r="E53" s="1" t="s">
        <v>170</v>
      </c>
      <c r="F53" s="1" t="s">
        <v>116</v>
      </c>
      <c r="G53" s="1" t="s">
        <v>18</v>
      </c>
      <c r="H53" s="2">
        <v>22</v>
      </c>
      <c r="I53" s="2">
        <v>1</v>
      </c>
      <c r="J53" s="7" t="s">
        <v>262</v>
      </c>
      <c r="K53" s="1" t="s">
        <v>66</v>
      </c>
      <c r="L53" s="1" t="s">
        <v>31</v>
      </c>
      <c r="M53" s="1" t="s">
        <v>93</v>
      </c>
    </row>
    <row r="54" spans="1:13" x14ac:dyDescent="0.35">
      <c r="A54" s="1" t="s">
        <v>263</v>
      </c>
      <c r="B54" s="6" t="s">
        <v>80</v>
      </c>
      <c r="C54" s="6" t="s">
        <v>264</v>
      </c>
      <c r="D54" s="6"/>
      <c r="E54" s="1" t="s">
        <v>120</v>
      </c>
      <c r="F54" s="1" t="s">
        <v>197</v>
      </c>
      <c r="G54" s="1" t="s">
        <v>64</v>
      </c>
      <c r="H54" s="2">
        <v>218</v>
      </c>
      <c r="I54" s="2">
        <v>5</v>
      </c>
      <c r="J54" s="7" t="s">
        <v>265</v>
      </c>
      <c r="K54" s="1" t="s">
        <v>44</v>
      </c>
      <c r="L54" s="1" t="s">
        <v>31</v>
      </c>
      <c r="M54" s="1" t="s">
        <v>22</v>
      </c>
    </row>
    <row r="55" spans="1:13" x14ac:dyDescent="0.35">
      <c r="A55" s="1" t="s">
        <v>266</v>
      </c>
      <c r="B55" s="6" t="s">
        <v>267</v>
      </c>
      <c r="C55" s="6"/>
      <c r="D55" s="6" t="s">
        <v>268</v>
      </c>
      <c r="E55" s="1" t="s">
        <v>159</v>
      </c>
      <c r="F55" s="1" t="s">
        <v>215</v>
      </c>
      <c r="G55" s="1" t="s">
        <v>18</v>
      </c>
      <c r="H55" s="2">
        <v>64</v>
      </c>
      <c r="I55" s="2">
        <v>1</v>
      </c>
      <c r="J55" s="7" t="s">
        <v>207</v>
      </c>
      <c r="K55" s="1" t="s">
        <v>20</v>
      </c>
      <c r="L55" s="1" t="s">
        <v>21</v>
      </c>
      <c r="M55" s="1" t="s">
        <v>38</v>
      </c>
    </row>
    <row r="56" spans="1:13" x14ac:dyDescent="0.35">
      <c r="A56" s="1" t="s">
        <v>269</v>
      </c>
      <c r="B56" s="6" t="s">
        <v>47</v>
      </c>
      <c r="C56" s="6" t="s">
        <v>270</v>
      </c>
      <c r="D56" s="6"/>
      <c r="E56" s="1" t="s">
        <v>179</v>
      </c>
      <c r="F56" s="1" t="s">
        <v>71</v>
      </c>
      <c r="G56" s="1" t="s">
        <v>64</v>
      </c>
      <c r="H56" s="2">
        <v>36</v>
      </c>
      <c r="I56" s="2">
        <v>4</v>
      </c>
      <c r="J56" s="7" t="s">
        <v>271</v>
      </c>
      <c r="K56" s="1" t="s">
        <v>44</v>
      </c>
      <c r="L56" s="1" t="s">
        <v>31</v>
      </c>
      <c r="M56" s="1" t="s">
        <v>52</v>
      </c>
    </row>
    <row r="57" spans="1:13" x14ac:dyDescent="0.35">
      <c r="A57" s="1" t="s">
        <v>272</v>
      </c>
      <c r="B57" s="6" t="s">
        <v>273</v>
      </c>
      <c r="C57" s="6" t="s">
        <v>154</v>
      </c>
      <c r="D57" s="6"/>
      <c r="E57" s="1" t="s">
        <v>274</v>
      </c>
      <c r="F57" s="1" t="s">
        <v>215</v>
      </c>
      <c r="G57" s="1" t="s">
        <v>72</v>
      </c>
      <c r="H57" s="2">
        <v>65</v>
      </c>
      <c r="I57" s="2">
        <v>1</v>
      </c>
      <c r="J57" s="7" t="s">
        <v>275</v>
      </c>
      <c r="K57" s="1" t="s">
        <v>58</v>
      </c>
      <c r="L57" s="1" t="s">
        <v>31</v>
      </c>
      <c r="M57" s="1" t="s">
        <v>93</v>
      </c>
    </row>
    <row r="58" spans="1:13" x14ac:dyDescent="0.35">
      <c r="A58" s="1" t="s">
        <v>276</v>
      </c>
      <c r="B58" s="6" t="s">
        <v>277</v>
      </c>
      <c r="C58" s="6" t="s">
        <v>278</v>
      </c>
      <c r="D58" s="6"/>
      <c r="E58" s="1" t="s">
        <v>129</v>
      </c>
      <c r="F58" s="1" t="s">
        <v>107</v>
      </c>
      <c r="G58" s="1" t="s">
        <v>64</v>
      </c>
      <c r="H58" s="2">
        <v>26</v>
      </c>
      <c r="I58" s="2">
        <v>1</v>
      </c>
      <c r="J58" s="7" t="s">
        <v>279</v>
      </c>
      <c r="K58" s="1" t="s">
        <v>20</v>
      </c>
      <c r="L58" s="1" t="s">
        <v>31</v>
      </c>
      <c r="M58" s="1" t="s">
        <v>22</v>
      </c>
    </row>
    <row r="59" spans="1:13" x14ac:dyDescent="0.35">
      <c r="A59" s="1" t="s">
        <v>280</v>
      </c>
      <c r="B59" s="6" t="s">
        <v>85</v>
      </c>
      <c r="C59" s="6"/>
      <c r="D59" s="6"/>
      <c r="E59" s="1" t="s">
        <v>16</v>
      </c>
      <c r="F59" s="1" t="s">
        <v>180</v>
      </c>
      <c r="G59" s="1" t="s">
        <v>18</v>
      </c>
      <c r="H59" s="2">
        <v>11</v>
      </c>
      <c r="I59" s="2">
        <v>5</v>
      </c>
      <c r="J59" s="7" t="s">
        <v>181</v>
      </c>
      <c r="K59" s="1" t="s">
        <v>30</v>
      </c>
      <c r="L59" s="1" t="s">
        <v>37</v>
      </c>
      <c r="M59" s="1" t="s">
        <v>93</v>
      </c>
    </row>
    <row r="60" spans="1:13" x14ac:dyDescent="0.35">
      <c r="A60" s="1" t="s">
        <v>281</v>
      </c>
      <c r="B60" s="6" t="s">
        <v>282</v>
      </c>
      <c r="C60" s="6"/>
      <c r="D60" s="6" t="s">
        <v>283</v>
      </c>
      <c r="E60" s="1" t="s">
        <v>284</v>
      </c>
      <c r="F60" s="1" t="s">
        <v>34</v>
      </c>
      <c r="G60" s="1" t="s">
        <v>18</v>
      </c>
      <c r="H60" s="2">
        <v>195</v>
      </c>
      <c r="I60" s="2">
        <v>4</v>
      </c>
      <c r="J60" s="7" t="s">
        <v>285</v>
      </c>
      <c r="K60" s="1" t="s">
        <v>44</v>
      </c>
      <c r="L60" s="1" t="s">
        <v>21</v>
      </c>
      <c r="M60" s="1" t="s">
        <v>93</v>
      </c>
    </row>
    <row r="61" spans="1:13" x14ac:dyDescent="0.35">
      <c r="A61" s="1" t="s">
        <v>286</v>
      </c>
      <c r="B61" s="6" t="s">
        <v>33</v>
      </c>
      <c r="C61" s="6"/>
      <c r="D61" s="6" t="s">
        <v>287</v>
      </c>
      <c r="E61" s="1" t="s">
        <v>70</v>
      </c>
      <c r="F61" s="1" t="s">
        <v>77</v>
      </c>
      <c r="G61" s="1" t="s">
        <v>72</v>
      </c>
      <c r="H61" s="2">
        <v>44</v>
      </c>
      <c r="I61" s="2">
        <v>5</v>
      </c>
      <c r="J61" s="7" t="s">
        <v>288</v>
      </c>
      <c r="K61" s="1" t="s">
        <v>20</v>
      </c>
      <c r="L61" s="1" t="s">
        <v>21</v>
      </c>
      <c r="M61" s="1" t="s">
        <v>38</v>
      </c>
    </row>
    <row r="62" spans="1:13" x14ac:dyDescent="0.35">
      <c r="A62" s="1" t="s">
        <v>289</v>
      </c>
      <c r="B62" s="6" t="s">
        <v>290</v>
      </c>
      <c r="C62" s="6"/>
      <c r="D62" s="6"/>
      <c r="E62" s="1" t="s">
        <v>291</v>
      </c>
      <c r="F62" s="1" t="s">
        <v>121</v>
      </c>
      <c r="G62" s="1" t="s">
        <v>28</v>
      </c>
      <c r="H62" s="2">
        <v>69</v>
      </c>
      <c r="I62" s="2">
        <v>4</v>
      </c>
      <c r="J62" s="7" t="s">
        <v>292</v>
      </c>
      <c r="K62" s="1" t="s">
        <v>66</v>
      </c>
      <c r="L62" s="1" t="s">
        <v>37</v>
      </c>
      <c r="M62" s="1" t="s">
        <v>22</v>
      </c>
    </row>
    <row r="63" spans="1:13" x14ac:dyDescent="0.35">
      <c r="A63" s="1" t="s">
        <v>293</v>
      </c>
      <c r="B63" s="6" t="s">
        <v>294</v>
      </c>
      <c r="C63" s="6" t="s">
        <v>295</v>
      </c>
      <c r="D63" s="6"/>
      <c r="E63" s="1" t="s">
        <v>296</v>
      </c>
      <c r="F63" s="1" t="s">
        <v>130</v>
      </c>
      <c r="G63" s="1" t="s">
        <v>18</v>
      </c>
      <c r="H63" s="2">
        <v>815</v>
      </c>
      <c r="I63" s="2">
        <v>4</v>
      </c>
      <c r="J63" s="7" t="s">
        <v>297</v>
      </c>
      <c r="K63" s="1" t="s">
        <v>30</v>
      </c>
      <c r="L63" s="1" t="s">
        <v>31</v>
      </c>
      <c r="M63" s="1" t="s">
        <v>38</v>
      </c>
    </row>
    <row r="64" spans="1:13" x14ac:dyDescent="0.35">
      <c r="A64" s="1" t="s">
        <v>298</v>
      </c>
      <c r="B64" s="6" t="s">
        <v>299</v>
      </c>
      <c r="C64" s="6"/>
      <c r="D64" s="6"/>
      <c r="E64" s="1" t="s">
        <v>300</v>
      </c>
      <c r="F64" s="1" t="s">
        <v>107</v>
      </c>
      <c r="G64" s="1" t="s">
        <v>28</v>
      </c>
      <c r="H64" s="2">
        <v>27</v>
      </c>
      <c r="I64" s="2">
        <v>1</v>
      </c>
      <c r="J64" s="7" t="s">
        <v>108</v>
      </c>
      <c r="K64" s="1" t="s">
        <v>66</v>
      </c>
      <c r="L64" s="1" t="s">
        <v>37</v>
      </c>
      <c r="M64" s="1" t="s">
        <v>52</v>
      </c>
    </row>
    <row r="65" spans="1:13" x14ac:dyDescent="0.35">
      <c r="A65" s="1" t="s">
        <v>301</v>
      </c>
      <c r="B65" s="6" t="s">
        <v>213</v>
      </c>
      <c r="C65" s="6" t="s">
        <v>80</v>
      </c>
      <c r="D65" s="6"/>
      <c r="E65" s="1" t="s">
        <v>302</v>
      </c>
      <c r="F65" s="1" t="s">
        <v>81</v>
      </c>
      <c r="G65" s="1" t="s">
        <v>72</v>
      </c>
      <c r="H65" s="2">
        <v>139</v>
      </c>
      <c r="I65" s="2">
        <v>5</v>
      </c>
      <c r="J65" s="7" t="s">
        <v>303</v>
      </c>
      <c r="K65" s="1" t="s">
        <v>20</v>
      </c>
      <c r="L65" s="1" t="s">
        <v>31</v>
      </c>
      <c r="M65" s="1" t="s">
        <v>38</v>
      </c>
    </row>
    <row r="66" spans="1:13" x14ac:dyDescent="0.35">
      <c r="A66" s="1" t="s">
        <v>304</v>
      </c>
      <c r="B66" s="6" t="s">
        <v>273</v>
      </c>
      <c r="C66" s="6"/>
      <c r="D66" s="6" t="s">
        <v>305</v>
      </c>
      <c r="E66" s="1" t="s">
        <v>56</v>
      </c>
      <c r="F66" s="1" t="s">
        <v>121</v>
      </c>
      <c r="G66" s="1" t="s">
        <v>35</v>
      </c>
      <c r="H66" s="2">
        <v>69</v>
      </c>
      <c r="I66" s="2">
        <v>3</v>
      </c>
      <c r="J66" s="7" t="s">
        <v>306</v>
      </c>
      <c r="K66" s="1" t="s">
        <v>44</v>
      </c>
      <c r="L66" s="1" t="s">
        <v>21</v>
      </c>
      <c r="M66" s="1" t="s">
        <v>52</v>
      </c>
    </row>
    <row r="67" spans="1:13" x14ac:dyDescent="0.35">
      <c r="A67" s="1" t="s">
        <v>307</v>
      </c>
      <c r="B67" s="6" t="s">
        <v>308</v>
      </c>
      <c r="C67" s="6"/>
      <c r="D67" s="6" t="s">
        <v>309</v>
      </c>
      <c r="E67" s="1" t="s">
        <v>56</v>
      </c>
      <c r="F67" s="1" t="s">
        <v>77</v>
      </c>
      <c r="G67" s="1" t="s">
        <v>72</v>
      </c>
      <c r="H67" s="2">
        <v>42</v>
      </c>
      <c r="I67" s="2">
        <v>1</v>
      </c>
      <c r="J67" s="7" t="s">
        <v>310</v>
      </c>
      <c r="K67" s="1" t="s">
        <v>20</v>
      </c>
      <c r="L67" s="1" t="s">
        <v>21</v>
      </c>
      <c r="M67" s="1" t="s">
        <v>22</v>
      </c>
    </row>
    <row r="68" spans="1:13" x14ac:dyDescent="0.35">
      <c r="A68" s="1" t="s">
        <v>311</v>
      </c>
      <c r="B68" s="6" t="s">
        <v>312</v>
      </c>
      <c r="C68" s="6" t="s">
        <v>313</v>
      </c>
      <c r="D68" s="6"/>
      <c r="E68" s="1" t="s">
        <v>314</v>
      </c>
      <c r="F68" s="1" t="s">
        <v>206</v>
      </c>
      <c r="G68" s="1" t="s">
        <v>18</v>
      </c>
      <c r="H68" s="2">
        <v>31</v>
      </c>
      <c r="I68" s="2">
        <v>4</v>
      </c>
      <c r="J68" s="7" t="s">
        <v>315</v>
      </c>
      <c r="K68" s="1" t="s">
        <v>30</v>
      </c>
      <c r="L68" s="1" t="s">
        <v>31</v>
      </c>
      <c r="M68" s="1" t="s">
        <v>45</v>
      </c>
    </row>
    <row r="69" spans="1:13" x14ac:dyDescent="0.35">
      <c r="A69" s="1" t="s">
        <v>316</v>
      </c>
      <c r="B69" s="6" t="s">
        <v>230</v>
      </c>
      <c r="C69" s="6"/>
      <c r="D69" s="6"/>
      <c r="E69" s="1" t="s">
        <v>91</v>
      </c>
      <c r="F69" s="1" t="s">
        <v>63</v>
      </c>
      <c r="G69" s="1" t="s">
        <v>72</v>
      </c>
      <c r="H69" s="2">
        <v>104</v>
      </c>
      <c r="I69" s="2">
        <v>3</v>
      </c>
      <c r="J69" s="7" t="s">
        <v>317</v>
      </c>
      <c r="K69" s="1" t="s">
        <v>30</v>
      </c>
      <c r="L69" s="1" t="s">
        <v>37</v>
      </c>
      <c r="M69" s="1" t="s">
        <v>45</v>
      </c>
    </row>
    <row r="70" spans="1:13" x14ac:dyDescent="0.35">
      <c r="A70" s="1" t="s">
        <v>318</v>
      </c>
      <c r="B70" s="6" t="s">
        <v>319</v>
      </c>
      <c r="C70" s="6"/>
      <c r="D70" s="6" t="s">
        <v>320</v>
      </c>
      <c r="E70" s="1" t="s">
        <v>42</v>
      </c>
      <c r="F70" s="1" t="s">
        <v>50</v>
      </c>
      <c r="G70" s="1" t="s">
        <v>28</v>
      </c>
      <c r="H70" s="2">
        <v>58</v>
      </c>
      <c r="I70" s="2">
        <v>2</v>
      </c>
      <c r="J70" s="7" t="s">
        <v>321</v>
      </c>
      <c r="K70" s="1" t="s">
        <v>20</v>
      </c>
      <c r="L70" s="1" t="s">
        <v>21</v>
      </c>
      <c r="M70" s="1" t="s">
        <v>38</v>
      </c>
    </row>
    <row r="71" spans="1:13" x14ac:dyDescent="0.35">
      <c r="A71" s="1" t="s">
        <v>322</v>
      </c>
      <c r="B71" s="6" t="s">
        <v>162</v>
      </c>
      <c r="C71" s="6"/>
      <c r="D71" s="6" t="s">
        <v>166</v>
      </c>
      <c r="E71" s="1" t="s">
        <v>56</v>
      </c>
      <c r="F71" s="1" t="s">
        <v>215</v>
      </c>
      <c r="G71" s="1" t="s">
        <v>72</v>
      </c>
      <c r="H71" s="2">
        <v>62</v>
      </c>
      <c r="I71" s="2">
        <v>2</v>
      </c>
      <c r="J71" s="7" t="s">
        <v>315</v>
      </c>
      <c r="K71" s="1" t="s">
        <v>66</v>
      </c>
      <c r="L71" s="1" t="s">
        <v>21</v>
      </c>
      <c r="M71" s="1" t="s">
        <v>22</v>
      </c>
    </row>
    <row r="72" spans="1:13" x14ac:dyDescent="0.35">
      <c r="A72" s="1" t="s">
        <v>323</v>
      </c>
      <c r="B72" s="6" t="s">
        <v>230</v>
      </c>
      <c r="C72" s="6" t="s">
        <v>213</v>
      </c>
      <c r="D72" s="6"/>
      <c r="E72" s="1" t="s">
        <v>214</v>
      </c>
      <c r="F72" s="1" t="s">
        <v>77</v>
      </c>
      <c r="G72" s="1" t="s">
        <v>28</v>
      </c>
      <c r="H72" s="2">
        <v>43</v>
      </c>
      <c r="I72" s="2">
        <v>1</v>
      </c>
      <c r="J72" s="7" t="s">
        <v>151</v>
      </c>
      <c r="K72" s="1" t="s">
        <v>30</v>
      </c>
      <c r="L72" s="1" t="s">
        <v>31</v>
      </c>
      <c r="M72" s="1" t="s">
        <v>52</v>
      </c>
    </row>
    <row r="73" spans="1:13" x14ac:dyDescent="0.35">
      <c r="A73" s="1" t="s">
        <v>324</v>
      </c>
      <c r="B73" s="6" t="s">
        <v>325</v>
      </c>
      <c r="C73" s="6"/>
      <c r="D73" s="6"/>
      <c r="E73" s="1" t="s">
        <v>296</v>
      </c>
      <c r="F73" s="1" t="s">
        <v>215</v>
      </c>
      <c r="G73" s="1" t="s">
        <v>28</v>
      </c>
      <c r="H73" s="2">
        <v>62</v>
      </c>
      <c r="I73" s="2">
        <v>4</v>
      </c>
      <c r="J73" s="7" t="s">
        <v>216</v>
      </c>
      <c r="K73" s="1" t="s">
        <v>66</v>
      </c>
      <c r="L73" s="1" t="s">
        <v>37</v>
      </c>
      <c r="M73" s="1" t="s">
        <v>52</v>
      </c>
    </row>
    <row r="74" spans="1:13" x14ac:dyDescent="0.35">
      <c r="A74" s="1" t="s">
        <v>326</v>
      </c>
      <c r="B74" s="6" t="s">
        <v>327</v>
      </c>
      <c r="C74" s="6"/>
      <c r="D74" s="6" t="s">
        <v>90</v>
      </c>
      <c r="E74" s="1" t="s">
        <v>144</v>
      </c>
      <c r="F74" s="1" t="s">
        <v>98</v>
      </c>
      <c r="G74" s="1" t="s">
        <v>18</v>
      </c>
      <c r="H74" s="2">
        <v>95</v>
      </c>
      <c r="I74" s="2">
        <v>2</v>
      </c>
      <c r="J74" s="7" t="s">
        <v>328</v>
      </c>
      <c r="K74" s="1" t="s">
        <v>44</v>
      </c>
      <c r="L74" s="1" t="s">
        <v>21</v>
      </c>
      <c r="M74" s="1" t="s">
        <v>45</v>
      </c>
    </row>
    <row r="75" spans="1:13" x14ac:dyDescent="0.35">
      <c r="A75" s="1" t="s">
        <v>329</v>
      </c>
      <c r="B75" s="6" t="s">
        <v>330</v>
      </c>
      <c r="C75" s="6" t="s">
        <v>331</v>
      </c>
      <c r="D75" s="6"/>
      <c r="E75" s="1" t="s">
        <v>140</v>
      </c>
      <c r="F75" s="1" t="s">
        <v>71</v>
      </c>
      <c r="G75" s="1" t="s">
        <v>64</v>
      </c>
      <c r="H75" s="2">
        <v>36</v>
      </c>
      <c r="I75" s="2">
        <v>4</v>
      </c>
      <c r="J75" s="7" t="s">
        <v>271</v>
      </c>
      <c r="K75" s="1" t="s">
        <v>20</v>
      </c>
      <c r="L75" s="1" t="s">
        <v>31</v>
      </c>
      <c r="M75" s="1" t="s">
        <v>93</v>
      </c>
    </row>
    <row r="76" spans="1:13" x14ac:dyDescent="0.35">
      <c r="A76" s="1" t="s">
        <v>332</v>
      </c>
      <c r="B76" s="6" t="s">
        <v>333</v>
      </c>
      <c r="C76" s="6"/>
      <c r="D76" s="6"/>
      <c r="E76" s="1" t="s">
        <v>62</v>
      </c>
      <c r="F76" s="1" t="s">
        <v>102</v>
      </c>
      <c r="G76" s="1" t="s">
        <v>28</v>
      </c>
      <c r="H76" s="2">
        <v>73</v>
      </c>
      <c r="I76" s="2">
        <v>5</v>
      </c>
      <c r="J76" s="7" t="s">
        <v>253</v>
      </c>
      <c r="K76" s="1" t="s">
        <v>20</v>
      </c>
      <c r="L76" s="1" t="s">
        <v>37</v>
      </c>
      <c r="M76" s="1" t="s">
        <v>22</v>
      </c>
    </row>
    <row r="77" spans="1:13" x14ac:dyDescent="0.35">
      <c r="A77" s="1" t="s">
        <v>334</v>
      </c>
      <c r="B77" s="6" t="s">
        <v>335</v>
      </c>
      <c r="C77" s="6" t="s">
        <v>336</v>
      </c>
      <c r="D77" s="6"/>
      <c r="E77" s="1" t="s">
        <v>97</v>
      </c>
      <c r="F77" s="1" t="s">
        <v>77</v>
      </c>
      <c r="G77" s="1" t="s">
        <v>18</v>
      </c>
      <c r="H77" s="2">
        <v>43</v>
      </c>
      <c r="I77" s="2">
        <v>4</v>
      </c>
      <c r="J77" s="7" t="s">
        <v>194</v>
      </c>
      <c r="K77" s="1" t="s">
        <v>66</v>
      </c>
      <c r="L77" s="1" t="s">
        <v>31</v>
      </c>
      <c r="M77" s="1" t="s">
        <v>22</v>
      </c>
    </row>
    <row r="78" spans="1:13" x14ac:dyDescent="0.35">
      <c r="A78" s="1" t="s">
        <v>337</v>
      </c>
      <c r="B78" s="6" t="s">
        <v>55</v>
      </c>
      <c r="C78" s="6" t="s">
        <v>338</v>
      </c>
      <c r="D78" s="6"/>
      <c r="E78" s="1" t="s">
        <v>300</v>
      </c>
      <c r="F78" s="1" t="s">
        <v>197</v>
      </c>
      <c r="G78" s="1" t="s">
        <v>72</v>
      </c>
      <c r="H78" s="2">
        <v>214</v>
      </c>
      <c r="I78" s="2">
        <v>5</v>
      </c>
      <c r="J78" s="7" t="s">
        <v>339</v>
      </c>
      <c r="K78" s="1" t="s">
        <v>66</v>
      </c>
      <c r="L78" s="1" t="s">
        <v>31</v>
      </c>
      <c r="M78" s="1" t="s">
        <v>45</v>
      </c>
    </row>
    <row r="79" spans="1:13" x14ac:dyDescent="0.35">
      <c r="A79" s="1" t="s">
        <v>340</v>
      </c>
      <c r="B79" s="6" t="s">
        <v>341</v>
      </c>
      <c r="C79" s="6"/>
      <c r="D79" s="6" t="s">
        <v>342</v>
      </c>
      <c r="E79" s="1" t="s">
        <v>302</v>
      </c>
      <c r="F79" s="1" t="s">
        <v>150</v>
      </c>
      <c r="G79" s="1" t="s">
        <v>64</v>
      </c>
      <c r="H79" s="2">
        <v>42</v>
      </c>
      <c r="I79" s="2">
        <v>2</v>
      </c>
      <c r="J79" s="7" t="s">
        <v>134</v>
      </c>
      <c r="K79" s="1" t="s">
        <v>20</v>
      </c>
      <c r="L79" s="1" t="s">
        <v>21</v>
      </c>
      <c r="M79" s="1" t="s">
        <v>45</v>
      </c>
    </row>
    <row r="80" spans="1:13" x14ac:dyDescent="0.35">
      <c r="A80" s="1" t="s">
        <v>343</v>
      </c>
      <c r="B80" s="6" t="s">
        <v>68</v>
      </c>
      <c r="C80" s="6"/>
      <c r="D80" s="6"/>
      <c r="E80" s="1" t="s">
        <v>302</v>
      </c>
      <c r="F80" s="1" t="s">
        <v>17</v>
      </c>
      <c r="G80" s="1" t="s">
        <v>18</v>
      </c>
      <c r="H80" s="2">
        <v>46</v>
      </c>
      <c r="I80" s="2">
        <v>1</v>
      </c>
      <c r="J80" s="7" t="s">
        <v>344</v>
      </c>
      <c r="K80" s="1" t="s">
        <v>58</v>
      </c>
      <c r="L80" s="1" t="s">
        <v>37</v>
      </c>
      <c r="M80" s="1" t="s">
        <v>45</v>
      </c>
    </row>
    <row r="81" spans="1:13" x14ac:dyDescent="0.35">
      <c r="A81" s="1" t="s">
        <v>345</v>
      </c>
      <c r="B81" s="6" t="s">
        <v>346</v>
      </c>
      <c r="C81" s="6" t="s">
        <v>247</v>
      </c>
      <c r="D81" s="6"/>
      <c r="E81" s="1" t="s">
        <v>192</v>
      </c>
      <c r="F81" s="1" t="s">
        <v>27</v>
      </c>
      <c r="G81" s="1" t="s">
        <v>28</v>
      </c>
      <c r="H81" s="2">
        <v>95</v>
      </c>
      <c r="I81" s="2">
        <v>4</v>
      </c>
      <c r="J81" s="7" t="s">
        <v>347</v>
      </c>
      <c r="K81" s="1" t="s">
        <v>30</v>
      </c>
      <c r="L81" s="1" t="s">
        <v>31</v>
      </c>
      <c r="M81" s="1" t="s">
        <v>45</v>
      </c>
    </row>
    <row r="82" spans="1:13" x14ac:dyDescent="0.35">
      <c r="A82" s="1" t="s">
        <v>348</v>
      </c>
      <c r="B82" s="6" t="s">
        <v>143</v>
      </c>
      <c r="C82" s="6"/>
      <c r="D82" s="6"/>
      <c r="E82" s="1" t="s">
        <v>220</v>
      </c>
      <c r="F82" s="1" t="s">
        <v>193</v>
      </c>
      <c r="G82" s="1" t="s">
        <v>72</v>
      </c>
      <c r="H82" s="2">
        <v>174</v>
      </c>
      <c r="I82" s="2">
        <v>2</v>
      </c>
      <c r="J82" s="7" t="s">
        <v>349</v>
      </c>
      <c r="K82" s="1" t="s">
        <v>44</v>
      </c>
      <c r="L82" s="1" t="s">
        <v>37</v>
      </c>
      <c r="M82" s="1" t="s">
        <v>45</v>
      </c>
    </row>
    <row r="83" spans="1:13" x14ac:dyDescent="0.35">
      <c r="A83" s="1" t="s">
        <v>350</v>
      </c>
      <c r="B83" s="6" t="s">
        <v>177</v>
      </c>
      <c r="C83" s="6"/>
      <c r="D83" s="6" t="s">
        <v>351</v>
      </c>
      <c r="E83" s="1" t="s">
        <v>86</v>
      </c>
      <c r="F83" s="1" t="s">
        <v>107</v>
      </c>
      <c r="G83" s="1" t="s">
        <v>18</v>
      </c>
      <c r="H83" s="2">
        <v>27</v>
      </c>
      <c r="I83" s="2">
        <v>5</v>
      </c>
      <c r="J83" s="7" t="s">
        <v>352</v>
      </c>
      <c r="K83" s="1" t="s">
        <v>30</v>
      </c>
      <c r="L83" s="1" t="s">
        <v>21</v>
      </c>
      <c r="M83" s="1" t="s">
        <v>52</v>
      </c>
    </row>
    <row r="84" spans="1:13" x14ac:dyDescent="0.35">
      <c r="A84" s="1" t="s">
        <v>353</v>
      </c>
      <c r="B84" s="6" t="s">
        <v>354</v>
      </c>
      <c r="C84" s="6" t="s">
        <v>355</v>
      </c>
      <c r="D84" s="6"/>
      <c r="E84" s="1" t="s">
        <v>16</v>
      </c>
      <c r="F84" s="1" t="s">
        <v>107</v>
      </c>
      <c r="G84" s="1" t="s">
        <v>35</v>
      </c>
      <c r="H84" s="2">
        <v>27</v>
      </c>
      <c r="I84" s="2">
        <v>4</v>
      </c>
      <c r="J84" s="7" t="s">
        <v>228</v>
      </c>
      <c r="K84" s="1" t="s">
        <v>44</v>
      </c>
      <c r="L84" s="1" t="s">
        <v>31</v>
      </c>
      <c r="M84" s="1" t="s">
        <v>38</v>
      </c>
    </row>
    <row r="85" spans="1:13" x14ac:dyDescent="0.35">
      <c r="A85" s="1" t="s">
        <v>356</v>
      </c>
      <c r="B85" s="6" t="s">
        <v>190</v>
      </c>
      <c r="C85" s="6"/>
      <c r="D85" s="6"/>
      <c r="E85" s="1" t="s">
        <v>357</v>
      </c>
      <c r="F85" s="1" t="s">
        <v>155</v>
      </c>
      <c r="G85" s="1" t="s">
        <v>35</v>
      </c>
      <c r="H85" s="2">
        <v>65</v>
      </c>
      <c r="I85" s="2">
        <v>2</v>
      </c>
      <c r="J85" s="7" t="s">
        <v>358</v>
      </c>
      <c r="K85" s="1" t="s">
        <v>44</v>
      </c>
      <c r="L85" s="1" t="s">
        <v>37</v>
      </c>
      <c r="M85" s="1" t="s">
        <v>22</v>
      </c>
    </row>
    <row r="86" spans="1:13" x14ac:dyDescent="0.35">
      <c r="A86" s="1" t="s">
        <v>359</v>
      </c>
      <c r="B86" s="6" t="s">
        <v>325</v>
      </c>
      <c r="C86" s="6"/>
      <c r="D86" s="6"/>
      <c r="E86" s="1" t="s">
        <v>91</v>
      </c>
      <c r="F86" s="1" t="s">
        <v>77</v>
      </c>
      <c r="G86" s="1" t="s">
        <v>28</v>
      </c>
      <c r="H86" s="2">
        <v>43</v>
      </c>
      <c r="I86" s="2">
        <v>5</v>
      </c>
      <c r="J86" s="7" t="s">
        <v>360</v>
      </c>
      <c r="K86" s="1" t="s">
        <v>66</v>
      </c>
      <c r="L86" s="1" t="s">
        <v>37</v>
      </c>
      <c r="M86" s="1" t="s">
        <v>22</v>
      </c>
    </row>
    <row r="87" spans="1:13" x14ac:dyDescent="0.35">
      <c r="A87" s="1" t="s">
        <v>361</v>
      </c>
      <c r="B87" s="6" t="s">
        <v>362</v>
      </c>
      <c r="C87" s="6"/>
      <c r="D87" s="6"/>
      <c r="E87" s="1" t="s">
        <v>167</v>
      </c>
      <c r="F87" s="1" t="s">
        <v>197</v>
      </c>
      <c r="G87" s="1" t="s">
        <v>72</v>
      </c>
      <c r="H87" s="2">
        <v>210</v>
      </c>
      <c r="I87" s="2">
        <v>1</v>
      </c>
      <c r="J87" s="7" t="s">
        <v>175</v>
      </c>
      <c r="K87" s="1" t="s">
        <v>44</v>
      </c>
      <c r="L87" s="1" t="s">
        <v>37</v>
      </c>
      <c r="M87" s="1" t="s">
        <v>45</v>
      </c>
    </row>
    <row r="88" spans="1:13" x14ac:dyDescent="0.35">
      <c r="A88" s="1" t="s">
        <v>363</v>
      </c>
      <c r="B88" s="6" t="s">
        <v>294</v>
      </c>
      <c r="C88" s="6"/>
      <c r="D88" s="6"/>
      <c r="E88" s="1" t="s">
        <v>364</v>
      </c>
      <c r="F88" s="1" t="s">
        <v>71</v>
      </c>
      <c r="G88" s="1" t="s">
        <v>35</v>
      </c>
      <c r="H88" s="2">
        <v>37</v>
      </c>
      <c r="I88" s="2">
        <v>3</v>
      </c>
      <c r="J88" s="7" t="s">
        <v>168</v>
      </c>
      <c r="K88" s="1" t="s">
        <v>30</v>
      </c>
      <c r="L88" s="1" t="s">
        <v>37</v>
      </c>
      <c r="M88" s="1" t="s">
        <v>45</v>
      </c>
    </row>
    <row r="89" spans="1:13" x14ac:dyDescent="0.35">
      <c r="A89" s="1" t="s">
        <v>365</v>
      </c>
      <c r="B89" s="6" t="s">
        <v>85</v>
      </c>
      <c r="C89" s="6"/>
      <c r="D89" s="6"/>
      <c r="E89" s="1" t="s">
        <v>167</v>
      </c>
      <c r="F89" s="1" t="s">
        <v>130</v>
      </c>
      <c r="G89" s="1" t="s">
        <v>35</v>
      </c>
      <c r="H89" s="2">
        <v>788</v>
      </c>
      <c r="I89" s="2">
        <v>4</v>
      </c>
      <c r="J89" s="7" t="s">
        <v>366</v>
      </c>
      <c r="K89" s="1" t="s">
        <v>66</v>
      </c>
      <c r="L89" s="1" t="s">
        <v>37</v>
      </c>
      <c r="M89" s="1" t="s">
        <v>52</v>
      </c>
    </row>
    <row r="90" spans="1:13" x14ac:dyDescent="0.35">
      <c r="A90" s="1" t="s">
        <v>367</v>
      </c>
      <c r="B90" s="6" t="s">
        <v>368</v>
      </c>
      <c r="C90" s="6"/>
      <c r="D90" s="6"/>
      <c r="E90" s="1" t="s">
        <v>167</v>
      </c>
      <c r="F90" s="1" t="s">
        <v>197</v>
      </c>
      <c r="G90" s="1" t="s">
        <v>72</v>
      </c>
      <c r="H90" s="2">
        <v>217</v>
      </c>
      <c r="I90" s="2">
        <v>5</v>
      </c>
      <c r="J90" s="7" t="s">
        <v>369</v>
      </c>
      <c r="K90" s="1" t="s">
        <v>66</v>
      </c>
      <c r="L90" s="1" t="s">
        <v>37</v>
      </c>
      <c r="M90" s="1" t="s">
        <v>93</v>
      </c>
    </row>
    <row r="91" spans="1:13" x14ac:dyDescent="0.35">
      <c r="A91" s="1" t="s">
        <v>370</v>
      </c>
      <c r="B91" s="6" t="s">
        <v>330</v>
      </c>
      <c r="C91" s="6"/>
      <c r="D91" s="6"/>
      <c r="E91" s="1" t="s">
        <v>167</v>
      </c>
      <c r="F91" s="1" t="s">
        <v>81</v>
      </c>
      <c r="G91" s="1" t="s">
        <v>72</v>
      </c>
      <c r="H91" s="2">
        <v>138</v>
      </c>
      <c r="I91" s="2">
        <v>4</v>
      </c>
      <c r="J91" s="7" t="s">
        <v>371</v>
      </c>
      <c r="K91" s="1" t="s">
        <v>30</v>
      </c>
      <c r="L91" s="1" t="s">
        <v>37</v>
      </c>
      <c r="M91" s="1" t="s">
        <v>93</v>
      </c>
    </row>
    <row r="92" spans="1:13" x14ac:dyDescent="0.35">
      <c r="A92" s="1" t="s">
        <v>372</v>
      </c>
      <c r="B92" s="6" t="s">
        <v>373</v>
      </c>
      <c r="C92" s="6" t="s">
        <v>374</v>
      </c>
      <c r="D92" s="6"/>
      <c r="E92" s="1" t="s">
        <v>375</v>
      </c>
      <c r="F92" s="1" t="s">
        <v>130</v>
      </c>
      <c r="G92" s="1" t="s">
        <v>64</v>
      </c>
      <c r="H92" s="2">
        <v>803</v>
      </c>
      <c r="I92" s="2">
        <v>2</v>
      </c>
      <c r="J92" s="7" t="s">
        <v>376</v>
      </c>
      <c r="K92" s="1" t="s">
        <v>20</v>
      </c>
      <c r="L92" s="1" t="s">
        <v>31</v>
      </c>
      <c r="M92" s="1" t="s">
        <v>93</v>
      </c>
    </row>
    <row r="93" spans="1:13" x14ac:dyDescent="0.35">
      <c r="A93" s="1" t="s">
        <v>377</v>
      </c>
      <c r="B93" s="6" t="s">
        <v>378</v>
      </c>
      <c r="C93" s="6"/>
      <c r="D93" s="6" t="s">
        <v>95</v>
      </c>
      <c r="E93" s="1" t="s">
        <v>76</v>
      </c>
      <c r="F93" s="1" t="s">
        <v>87</v>
      </c>
      <c r="G93" s="1" t="s">
        <v>18</v>
      </c>
      <c r="H93" s="2">
        <v>248</v>
      </c>
      <c r="I93" s="2">
        <v>5</v>
      </c>
      <c r="J93" s="7" t="s">
        <v>379</v>
      </c>
      <c r="K93" s="1" t="s">
        <v>44</v>
      </c>
      <c r="L93" s="1" t="s">
        <v>21</v>
      </c>
      <c r="M93" s="1" t="s">
        <v>45</v>
      </c>
    </row>
    <row r="94" spans="1:13" x14ac:dyDescent="0.35">
      <c r="A94" s="1" t="s">
        <v>380</v>
      </c>
      <c r="B94" s="6" t="s">
        <v>256</v>
      </c>
      <c r="C94" s="6" t="s">
        <v>378</v>
      </c>
      <c r="D94" s="6"/>
      <c r="E94" s="1" t="s">
        <v>381</v>
      </c>
      <c r="F94" s="1" t="s">
        <v>197</v>
      </c>
      <c r="G94" s="1" t="s">
        <v>28</v>
      </c>
      <c r="H94" s="2">
        <v>210</v>
      </c>
      <c r="I94" s="2">
        <v>3</v>
      </c>
      <c r="J94" s="7" t="s">
        <v>382</v>
      </c>
      <c r="K94" s="1" t="s">
        <v>20</v>
      </c>
      <c r="L94" s="1" t="s">
        <v>31</v>
      </c>
      <c r="M94" s="1" t="s">
        <v>22</v>
      </c>
    </row>
    <row r="95" spans="1:13" x14ac:dyDescent="0.35">
      <c r="A95" s="1" t="s">
        <v>383</v>
      </c>
      <c r="B95" s="6" t="s">
        <v>384</v>
      </c>
      <c r="C95" s="6"/>
      <c r="D95" s="6" t="s">
        <v>385</v>
      </c>
      <c r="E95" s="1" t="s">
        <v>76</v>
      </c>
      <c r="F95" s="1" t="s">
        <v>215</v>
      </c>
      <c r="G95" s="1" t="s">
        <v>18</v>
      </c>
      <c r="H95" s="2">
        <v>62</v>
      </c>
      <c r="I95" s="2">
        <v>2</v>
      </c>
      <c r="J95" s="7" t="s">
        <v>315</v>
      </c>
      <c r="K95" s="1" t="s">
        <v>30</v>
      </c>
      <c r="L95" s="1" t="s">
        <v>21</v>
      </c>
      <c r="M95" s="1" t="s">
        <v>93</v>
      </c>
    </row>
    <row r="96" spans="1:13" x14ac:dyDescent="0.35">
      <c r="A96" s="1" t="s">
        <v>386</v>
      </c>
      <c r="B96" s="6" t="s">
        <v>387</v>
      </c>
      <c r="C96" s="6"/>
      <c r="D96" s="6" t="s">
        <v>388</v>
      </c>
      <c r="E96" s="1" t="s">
        <v>364</v>
      </c>
      <c r="F96" s="1" t="s">
        <v>180</v>
      </c>
      <c r="G96" s="1" t="s">
        <v>35</v>
      </c>
      <c r="H96" s="2">
        <v>11</v>
      </c>
      <c r="I96" s="2">
        <v>5</v>
      </c>
      <c r="J96" s="7" t="s">
        <v>181</v>
      </c>
      <c r="K96" s="1" t="s">
        <v>66</v>
      </c>
      <c r="L96" s="1" t="s">
        <v>21</v>
      </c>
      <c r="M96" s="1" t="s">
        <v>52</v>
      </c>
    </row>
    <row r="97" spans="1:13" x14ac:dyDescent="0.35">
      <c r="A97" s="1" t="s">
        <v>389</v>
      </c>
      <c r="B97" s="6" t="s">
        <v>390</v>
      </c>
      <c r="C97" s="6" t="s">
        <v>391</v>
      </c>
      <c r="D97" s="6"/>
      <c r="E97" s="1" t="s">
        <v>274</v>
      </c>
      <c r="F97" s="1" t="s">
        <v>116</v>
      </c>
      <c r="G97" s="1" t="s">
        <v>18</v>
      </c>
      <c r="H97" s="2">
        <v>21</v>
      </c>
      <c r="I97" s="2">
        <v>2</v>
      </c>
      <c r="J97" s="7" t="s">
        <v>310</v>
      </c>
      <c r="K97" s="1" t="s">
        <v>58</v>
      </c>
      <c r="L97" s="1" t="s">
        <v>31</v>
      </c>
      <c r="M97" s="1" t="s">
        <v>45</v>
      </c>
    </row>
    <row r="98" spans="1:13" x14ac:dyDescent="0.35">
      <c r="A98" s="1" t="s">
        <v>392</v>
      </c>
      <c r="B98" s="6" t="s">
        <v>231</v>
      </c>
      <c r="C98" s="6" t="s">
        <v>191</v>
      </c>
      <c r="D98" s="6"/>
      <c r="E98" s="1" t="s">
        <v>97</v>
      </c>
      <c r="F98" s="1" t="s">
        <v>27</v>
      </c>
      <c r="G98" s="1" t="s">
        <v>72</v>
      </c>
      <c r="H98" s="2">
        <v>95</v>
      </c>
      <c r="I98" s="2">
        <v>5</v>
      </c>
      <c r="J98" s="7" t="s">
        <v>393</v>
      </c>
      <c r="K98" s="1" t="s">
        <v>58</v>
      </c>
      <c r="L98" s="1" t="s">
        <v>31</v>
      </c>
      <c r="M98" s="1" t="s">
        <v>52</v>
      </c>
    </row>
    <row r="99" spans="1:13" x14ac:dyDescent="0.35">
      <c r="A99" s="1" t="s">
        <v>394</v>
      </c>
      <c r="B99" s="6" t="s">
        <v>395</v>
      </c>
      <c r="C99" s="6" t="s">
        <v>219</v>
      </c>
      <c r="D99" s="6"/>
      <c r="E99" s="1" t="s">
        <v>42</v>
      </c>
      <c r="F99" s="1" t="s">
        <v>197</v>
      </c>
      <c r="G99" s="1" t="s">
        <v>35</v>
      </c>
      <c r="H99" s="2">
        <v>215</v>
      </c>
      <c r="I99" s="2">
        <v>2</v>
      </c>
      <c r="J99" s="7" t="s">
        <v>396</v>
      </c>
      <c r="K99" s="1" t="s">
        <v>44</v>
      </c>
      <c r="L99" s="1" t="s">
        <v>31</v>
      </c>
      <c r="M99" s="1" t="s">
        <v>52</v>
      </c>
    </row>
    <row r="100" spans="1:13" x14ac:dyDescent="0.35">
      <c r="A100" s="1" t="s">
        <v>397</v>
      </c>
      <c r="B100" s="6" t="s">
        <v>330</v>
      </c>
      <c r="C100" s="6"/>
      <c r="D100" s="6" t="s">
        <v>331</v>
      </c>
      <c r="E100" s="1" t="s">
        <v>398</v>
      </c>
      <c r="F100" s="1" t="s">
        <v>77</v>
      </c>
      <c r="G100" s="1" t="s">
        <v>72</v>
      </c>
      <c r="H100" s="2">
        <v>43</v>
      </c>
      <c r="I100" s="2">
        <v>5</v>
      </c>
      <c r="J100" s="7" t="s">
        <v>360</v>
      </c>
      <c r="K100" s="1" t="s">
        <v>30</v>
      </c>
      <c r="L100" s="1" t="s">
        <v>21</v>
      </c>
      <c r="M100" s="1" t="s">
        <v>45</v>
      </c>
    </row>
    <row r="101" spans="1:13" x14ac:dyDescent="0.35">
      <c r="A101" s="1" t="s">
        <v>399</v>
      </c>
      <c r="B101" s="6" t="s">
        <v>400</v>
      </c>
      <c r="C101" s="6"/>
      <c r="D101" s="6"/>
      <c r="E101" s="1" t="s">
        <v>56</v>
      </c>
      <c r="F101" s="1" t="s">
        <v>150</v>
      </c>
      <c r="G101" s="1" t="s">
        <v>72</v>
      </c>
      <c r="H101" s="2">
        <v>42</v>
      </c>
      <c r="I101" s="2">
        <v>4</v>
      </c>
      <c r="J101" s="7" t="s">
        <v>401</v>
      </c>
      <c r="K101" s="1" t="s">
        <v>66</v>
      </c>
      <c r="L101" s="1" t="s">
        <v>37</v>
      </c>
      <c r="M101" s="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38A2-E0F1-444B-A117-50B04936DC69}">
  <sheetPr>
    <tabColor theme="5" tint="0.79998168889431442"/>
  </sheetPr>
  <dimension ref="A1:E23"/>
  <sheetViews>
    <sheetView workbookViewId="0">
      <selection activeCell="D11" sqref="D11"/>
    </sheetView>
  </sheetViews>
  <sheetFormatPr defaultRowHeight="14.5" x14ac:dyDescent="0.35"/>
  <cols>
    <col min="1" max="1" width="9.7265625" bestFit="1" customWidth="1"/>
    <col min="2" max="2" width="16.1796875" bestFit="1" customWidth="1"/>
    <col min="3" max="3" width="9.7265625" customWidth="1"/>
    <col min="4" max="4" width="9.08984375" bestFit="1" customWidth="1"/>
    <col min="5" max="5" width="47.26953125" bestFit="1" customWidth="1"/>
  </cols>
  <sheetData>
    <row r="1" spans="1:5" x14ac:dyDescent="0.35">
      <c r="A1" s="47" t="s">
        <v>5</v>
      </c>
      <c r="B1" s="47" t="s">
        <v>402</v>
      </c>
      <c r="C1" s="47" t="s">
        <v>403</v>
      </c>
      <c r="D1" s="49" t="s">
        <v>404</v>
      </c>
      <c r="E1" s="47" t="s">
        <v>405</v>
      </c>
    </row>
    <row r="2" spans="1:5" x14ac:dyDescent="0.35">
      <c r="A2" s="1" t="s">
        <v>130</v>
      </c>
      <c r="B2" s="1" t="s">
        <v>406</v>
      </c>
      <c r="C2" s="1" t="s">
        <v>407</v>
      </c>
      <c r="D2" s="2">
        <v>749</v>
      </c>
      <c r="E2" s="1" t="s">
        <v>408</v>
      </c>
    </row>
    <row r="3" spans="1:5" x14ac:dyDescent="0.35">
      <c r="A3" s="1" t="s">
        <v>150</v>
      </c>
      <c r="B3" s="1" t="s">
        <v>409</v>
      </c>
      <c r="C3" s="1" t="s">
        <v>410</v>
      </c>
      <c r="D3" s="2">
        <v>39</v>
      </c>
      <c r="E3" s="1" t="s">
        <v>411</v>
      </c>
    </row>
    <row r="4" spans="1:5" x14ac:dyDescent="0.35">
      <c r="A4" s="1" t="s">
        <v>81</v>
      </c>
      <c r="B4" s="1" t="s">
        <v>412</v>
      </c>
      <c r="C4" s="1" t="s">
        <v>413</v>
      </c>
      <c r="D4" s="2">
        <v>129</v>
      </c>
      <c r="E4" s="1" t="s">
        <v>414</v>
      </c>
    </row>
    <row r="5" spans="1:5" x14ac:dyDescent="0.35">
      <c r="A5" s="1" t="s">
        <v>215</v>
      </c>
      <c r="B5" s="1" t="s">
        <v>415</v>
      </c>
      <c r="C5" s="1" t="s">
        <v>410</v>
      </c>
      <c r="D5" s="2">
        <v>59</v>
      </c>
      <c r="E5" s="1" t="s">
        <v>416</v>
      </c>
    </row>
    <row r="6" spans="1:5" x14ac:dyDescent="0.35">
      <c r="A6" s="1" t="s">
        <v>107</v>
      </c>
      <c r="B6" s="1" t="s">
        <v>417</v>
      </c>
      <c r="C6" s="1" t="s">
        <v>418</v>
      </c>
      <c r="D6" s="2">
        <v>25</v>
      </c>
      <c r="E6" s="1" t="s">
        <v>419</v>
      </c>
    </row>
    <row r="7" spans="1:5" x14ac:dyDescent="0.35">
      <c r="A7" s="1" t="s">
        <v>98</v>
      </c>
      <c r="B7" s="1" t="s">
        <v>420</v>
      </c>
      <c r="C7" s="1" t="s">
        <v>418</v>
      </c>
      <c r="D7" s="2">
        <v>89</v>
      </c>
      <c r="E7" s="1" t="s">
        <v>421</v>
      </c>
    </row>
    <row r="8" spans="1:5" x14ac:dyDescent="0.35">
      <c r="A8" s="1" t="s">
        <v>206</v>
      </c>
      <c r="B8" s="1" t="s">
        <v>422</v>
      </c>
      <c r="C8" s="1" t="s">
        <v>410</v>
      </c>
      <c r="D8" s="2">
        <v>29</v>
      </c>
      <c r="E8" s="1" t="s">
        <v>423</v>
      </c>
    </row>
    <row r="9" spans="1:5" x14ac:dyDescent="0.35">
      <c r="A9" s="1" t="s">
        <v>121</v>
      </c>
      <c r="B9" s="1" t="s">
        <v>424</v>
      </c>
      <c r="C9" s="1" t="s">
        <v>425</v>
      </c>
      <c r="D9" s="2">
        <v>65</v>
      </c>
      <c r="E9" s="1" t="s">
        <v>426</v>
      </c>
    </row>
    <row r="10" spans="1:5" x14ac:dyDescent="0.35">
      <c r="A10" s="1" t="s">
        <v>180</v>
      </c>
      <c r="B10" s="1" t="s">
        <v>427</v>
      </c>
      <c r="C10" s="1" t="s">
        <v>425</v>
      </c>
      <c r="D10" s="2">
        <v>10</v>
      </c>
      <c r="E10" s="1" t="s">
        <v>428</v>
      </c>
    </row>
    <row r="11" spans="1:5" x14ac:dyDescent="0.35">
      <c r="A11" s="1" t="s">
        <v>50</v>
      </c>
      <c r="B11" s="1" t="s">
        <v>429</v>
      </c>
      <c r="C11" s="1" t="s">
        <v>418</v>
      </c>
      <c r="D11" s="2">
        <v>55</v>
      </c>
      <c r="E11" s="1" t="s">
        <v>430</v>
      </c>
    </row>
    <row r="12" spans="1:5" x14ac:dyDescent="0.35">
      <c r="A12" s="1" t="s">
        <v>193</v>
      </c>
      <c r="B12" s="1" t="s">
        <v>431</v>
      </c>
      <c r="C12" s="1" t="s">
        <v>407</v>
      </c>
      <c r="D12" s="2">
        <v>159</v>
      </c>
      <c r="E12" s="1" t="s">
        <v>432</v>
      </c>
    </row>
    <row r="13" spans="1:5" x14ac:dyDescent="0.35">
      <c r="A13" s="1" t="s">
        <v>17</v>
      </c>
      <c r="B13" s="1" t="s">
        <v>433</v>
      </c>
      <c r="C13" s="1" t="s">
        <v>413</v>
      </c>
      <c r="D13" s="2">
        <v>42</v>
      </c>
      <c r="E13" s="1" t="s">
        <v>434</v>
      </c>
    </row>
    <row r="14" spans="1:5" x14ac:dyDescent="0.35">
      <c r="A14" s="1" t="s">
        <v>34</v>
      </c>
      <c r="B14" s="1" t="s">
        <v>435</v>
      </c>
      <c r="C14" s="1" t="s">
        <v>413</v>
      </c>
      <c r="D14" s="2">
        <v>185</v>
      </c>
      <c r="E14" s="1" t="s">
        <v>436</v>
      </c>
    </row>
    <row r="15" spans="1:5" x14ac:dyDescent="0.35">
      <c r="A15" s="1" t="s">
        <v>87</v>
      </c>
      <c r="B15" s="1" t="s">
        <v>437</v>
      </c>
      <c r="C15" s="1" t="s">
        <v>407</v>
      </c>
      <c r="D15" s="2">
        <v>229</v>
      </c>
      <c r="E15" s="1" t="s">
        <v>438</v>
      </c>
    </row>
    <row r="16" spans="1:5" x14ac:dyDescent="0.35">
      <c r="A16" s="1" t="s">
        <v>116</v>
      </c>
      <c r="B16" s="1" t="s">
        <v>439</v>
      </c>
      <c r="C16" s="1" t="s">
        <v>425</v>
      </c>
      <c r="D16" s="2">
        <v>20</v>
      </c>
      <c r="E16" s="1" t="s">
        <v>440</v>
      </c>
    </row>
    <row r="17" spans="1:5" x14ac:dyDescent="0.35">
      <c r="A17" s="1" t="s">
        <v>197</v>
      </c>
      <c r="B17" s="1" t="s">
        <v>441</v>
      </c>
      <c r="C17" s="1" t="s">
        <v>413</v>
      </c>
      <c r="D17" s="2">
        <v>199</v>
      </c>
      <c r="E17" s="1" t="s">
        <v>442</v>
      </c>
    </row>
    <row r="18" spans="1:5" x14ac:dyDescent="0.35">
      <c r="A18" s="1" t="s">
        <v>102</v>
      </c>
      <c r="B18" s="1" t="s">
        <v>443</v>
      </c>
      <c r="C18" s="1" t="s">
        <v>407</v>
      </c>
      <c r="D18" s="2">
        <v>69</v>
      </c>
      <c r="E18" s="1" t="s">
        <v>444</v>
      </c>
    </row>
    <row r="19" spans="1:5" x14ac:dyDescent="0.35">
      <c r="A19" s="1" t="s">
        <v>27</v>
      </c>
      <c r="B19" s="1" t="s">
        <v>445</v>
      </c>
      <c r="C19" s="1" t="s">
        <v>410</v>
      </c>
      <c r="D19" s="2">
        <v>89</v>
      </c>
      <c r="E19" s="1" t="s">
        <v>446</v>
      </c>
    </row>
    <row r="20" spans="1:5" x14ac:dyDescent="0.35">
      <c r="A20" s="1" t="s">
        <v>77</v>
      </c>
      <c r="B20" s="1" t="s">
        <v>447</v>
      </c>
      <c r="C20" s="1" t="s">
        <v>418</v>
      </c>
      <c r="D20" s="2">
        <v>40</v>
      </c>
      <c r="E20" s="1" t="s">
        <v>448</v>
      </c>
    </row>
    <row r="21" spans="1:5" x14ac:dyDescent="0.35">
      <c r="A21" s="1" t="s">
        <v>63</v>
      </c>
      <c r="B21" s="1" t="s">
        <v>449</v>
      </c>
      <c r="C21" s="1" t="s">
        <v>407</v>
      </c>
      <c r="D21" s="2">
        <v>99</v>
      </c>
      <c r="E21" s="1" t="s">
        <v>450</v>
      </c>
    </row>
    <row r="22" spans="1:5" x14ac:dyDescent="0.35">
      <c r="A22" s="1" t="s">
        <v>71</v>
      </c>
      <c r="B22" s="1" t="s">
        <v>451</v>
      </c>
      <c r="C22" s="1" t="s">
        <v>413</v>
      </c>
      <c r="D22" s="2">
        <v>34</v>
      </c>
      <c r="E22" s="1" t="s">
        <v>452</v>
      </c>
    </row>
    <row r="23" spans="1:5" x14ac:dyDescent="0.35">
      <c r="A23" s="1" t="s">
        <v>155</v>
      </c>
      <c r="B23" s="1" t="s">
        <v>453</v>
      </c>
      <c r="C23" s="1" t="s">
        <v>418</v>
      </c>
      <c r="D23" s="2">
        <v>60</v>
      </c>
      <c r="E23" s="1" t="s">
        <v>454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7172F-A9AC-4570-8E8E-D21F32D283C1}">
  <sheetPr>
    <tabColor theme="5" tint="0.79998168889431442"/>
  </sheetPr>
  <dimension ref="A1:E50"/>
  <sheetViews>
    <sheetView workbookViewId="0">
      <selection activeCell="C8" sqref="C8"/>
    </sheetView>
  </sheetViews>
  <sheetFormatPr defaultRowHeight="14.5" x14ac:dyDescent="0.35"/>
  <cols>
    <col min="1" max="1" width="11.26953125" bestFit="1" customWidth="1"/>
    <col min="2" max="2" width="14.81640625" bestFit="1" customWidth="1"/>
    <col min="3" max="3" width="13.54296875" bestFit="1" customWidth="1"/>
    <col min="4" max="4" width="12" bestFit="1" customWidth="1"/>
    <col min="5" max="5" width="10.81640625" bestFit="1" customWidth="1"/>
  </cols>
  <sheetData>
    <row r="1" spans="1:5" x14ac:dyDescent="0.35">
      <c r="A1" s="47" t="s">
        <v>4</v>
      </c>
      <c r="B1" s="47" t="s">
        <v>456</v>
      </c>
      <c r="C1" s="47" t="s">
        <v>457</v>
      </c>
      <c r="D1" s="47" t="s">
        <v>458</v>
      </c>
      <c r="E1" s="47" t="s">
        <v>459</v>
      </c>
    </row>
    <row r="2" spans="1:5" x14ac:dyDescent="0.35">
      <c r="A2" s="1" t="s">
        <v>220</v>
      </c>
      <c r="B2" s="1" t="s">
        <v>460</v>
      </c>
      <c r="C2" s="1" t="s">
        <v>461</v>
      </c>
      <c r="D2" s="1" t="s">
        <v>462</v>
      </c>
      <c r="E2" s="1" t="s">
        <v>462</v>
      </c>
    </row>
    <row r="3" spans="1:5" x14ac:dyDescent="0.35">
      <c r="A3" s="1" t="s">
        <v>463</v>
      </c>
      <c r="B3" s="1" t="s">
        <v>464</v>
      </c>
      <c r="C3" s="1" t="s">
        <v>465</v>
      </c>
      <c r="D3" s="1" t="s">
        <v>466</v>
      </c>
      <c r="E3" s="1" t="s">
        <v>467</v>
      </c>
    </row>
    <row r="4" spans="1:5" x14ac:dyDescent="0.35">
      <c r="A4" s="1" t="s">
        <v>284</v>
      </c>
      <c r="B4" s="1" t="s">
        <v>468</v>
      </c>
      <c r="C4" s="1" t="s">
        <v>465</v>
      </c>
      <c r="D4" s="1" t="s">
        <v>469</v>
      </c>
      <c r="E4" s="1" t="s">
        <v>470</v>
      </c>
    </row>
    <row r="5" spans="1:5" x14ac:dyDescent="0.35">
      <c r="A5" s="1" t="s">
        <v>300</v>
      </c>
      <c r="B5" s="1" t="s">
        <v>471</v>
      </c>
      <c r="C5" s="1" t="s">
        <v>465</v>
      </c>
      <c r="D5" s="1" t="s">
        <v>472</v>
      </c>
      <c r="E5" s="1" t="s">
        <v>473</v>
      </c>
    </row>
    <row r="6" spans="1:5" x14ac:dyDescent="0.35">
      <c r="A6" s="1" t="s">
        <v>474</v>
      </c>
      <c r="B6" s="1" t="s">
        <v>475</v>
      </c>
      <c r="C6" s="1" t="s">
        <v>465</v>
      </c>
      <c r="D6" s="1" t="s">
        <v>466</v>
      </c>
      <c r="E6" s="1" t="s">
        <v>467</v>
      </c>
    </row>
    <row r="7" spans="1:5" x14ac:dyDescent="0.35">
      <c r="A7" s="1" t="s">
        <v>214</v>
      </c>
      <c r="B7" s="1" t="s">
        <v>476</v>
      </c>
      <c r="C7" s="1" t="s">
        <v>465</v>
      </c>
      <c r="D7" s="1" t="s">
        <v>477</v>
      </c>
      <c r="E7" s="1" t="s">
        <v>478</v>
      </c>
    </row>
    <row r="8" spans="1:5" x14ac:dyDescent="0.35">
      <c r="A8" s="1" t="s">
        <v>167</v>
      </c>
      <c r="B8" s="1" t="s">
        <v>479</v>
      </c>
      <c r="C8" s="1" t="s">
        <v>465</v>
      </c>
      <c r="D8" s="1" t="s">
        <v>472</v>
      </c>
      <c r="E8" s="1" t="s">
        <v>473</v>
      </c>
    </row>
    <row r="9" spans="1:5" x14ac:dyDescent="0.35">
      <c r="A9" s="1" t="s">
        <v>170</v>
      </c>
      <c r="B9" s="1" t="s">
        <v>480</v>
      </c>
      <c r="C9" s="1" t="s">
        <v>461</v>
      </c>
      <c r="D9" s="1" t="s">
        <v>481</v>
      </c>
      <c r="E9" s="1" t="s">
        <v>470</v>
      </c>
    </row>
    <row r="10" spans="1:5" x14ac:dyDescent="0.35">
      <c r="A10" s="1" t="s">
        <v>56</v>
      </c>
      <c r="B10" s="1" t="s">
        <v>482</v>
      </c>
      <c r="C10" s="1" t="s">
        <v>461</v>
      </c>
      <c r="D10" s="1" t="s">
        <v>466</v>
      </c>
      <c r="E10" s="1" t="s">
        <v>467</v>
      </c>
    </row>
    <row r="11" spans="1:5" x14ac:dyDescent="0.35">
      <c r="A11" s="1" t="s">
        <v>483</v>
      </c>
      <c r="B11" s="1" t="s">
        <v>484</v>
      </c>
      <c r="C11" s="1" t="s">
        <v>465</v>
      </c>
      <c r="D11" s="1" t="s">
        <v>477</v>
      </c>
      <c r="E11" s="1" t="s">
        <v>478</v>
      </c>
    </row>
    <row r="12" spans="1:5" x14ac:dyDescent="0.35">
      <c r="A12" s="1" t="s">
        <v>120</v>
      </c>
      <c r="B12" s="1" t="s">
        <v>485</v>
      </c>
      <c r="C12" s="1" t="s">
        <v>461</v>
      </c>
      <c r="D12" s="1" t="s">
        <v>486</v>
      </c>
      <c r="E12" s="1" t="s">
        <v>487</v>
      </c>
    </row>
    <row r="13" spans="1:5" x14ac:dyDescent="0.35">
      <c r="A13" s="1" t="s">
        <v>488</v>
      </c>
      <c r="B13" s="1" t="s">
        <v>460</v>
      </c>
      <c r="C13" s="1" t="s">
        <v>489</v>
      </c>
      <c r="D13" s="1" t="s">
        <v>490</v>
      </c>
      <c r="E13" s="1" t="s">
        <v>491</v>
      </c>
    </row>
    <row r="14" spans="1:5" x14ac:dyDescent="0.35">
      <c r="A14" s="1" t="s">
        <v>76</v>
      </c>
      <c r="B14" s="1" t="s">
        <v>475</v>
      </c>
      <c r="C14" s="1" t="s">
        <v>465</v>
      </c>
      <c r="D14" s="1" t="s">
        <v>466</v>
      </c>
      <c r="E14" s="1" t="s">
        <v>467</v>
      </c>
    </row>
    <row r="15" spans="1:5" x14ac:dyDescent="0.35">
      <c r="A15" s="1" t="s">
        <v>174</v>
      </c>
      <c r="B15" s="1" t="s">
        <v>480</v>
      </c>
      <c r="C15" s="1" t="s">
        <v>489</v>
      </c>
      <c r="D15" s="1" t="s">
        <v>477</v>
      </c>
      <c r="E15" s="1" t="s">
        <v>478</v>
      </c>
    </row>
    <row r="16" spans="1:5" x14ac:dyDescent="0.35">
      <c r="A16" s="1" t="s">
        <v>357</v>
      </c>
      <c r="B16" s="1" t="s">
        <v>492</v>
      </c>
      <c r="C16" s="1" t="s">
        <v>489</v>
      </c>
      <c r="D16" s="1" t="s">
        <v>490</v>
      </c>
      <c r="E16" s="1" t="s">
        <v>491</v>
      </c>
    </row>
    <row r="17" spans="1:5" x14ac:dyDescent="0.35">
      <c r="A17" s="1" t="s">
        <v>140</v>
      </c>
      <c r="B17" s="1" t="s">
        <v>493</v>
      </c>
      <c r="C17" s="1" t="s">
        <v>465</v>
      </c>
      <c r="D17" s="1" t="s">
        <v>490</v>
      </c>
      <c r="E17" s="1" t="s">
        <v>491</v>
      </c>
    </row>
    <row r="18" spans="1:5" x14ac:dyDescent="0.35">
      <c r="A18" s="1" t="s">
        <v>274</v>
      </c>
      <c r="B18" s="1" t="s">
        <v>494</v>
      </c>
      <c r="C18" s="1" t="s">
        <v>461</v>
      </c>
      <c r="D18" s="1" t="s">
        <v>469</v>
      </c>
      <c r="E18" s="1" t="s">
        <v>470</v>
      </c>
    </row>
    <row r="19" spans="1:5" x14ac:dyDescent="0.35">
      <c r="A19" s="1" t="s">
        <v>159</v>
      </c>
      <c r="B19" s="1" t="s">
        <v>495</v>
      </c>
      <c r="C19" s="1" t="s">
        <v>489</v>
      </c>
      <c r="D19" s="1" t="s">
        <v>486</v>
      </c>
      <c r="E19" s="1" t="s">
        <v>487</v>
      </c>
    </row>
    <row r="20" spans="1:5" x14ac:dyDescent="0.35">
      <c r="A20" s="1" t="s">
        <v>70</v>
      </c>
      <c r="B20" s="1" t="s">
        <v>476</v>
      </c>
      <c r="C20" s="1" t="s">
        <v>465</v>
      </c>
      <c r="D20" s="1" t="s">
        <v>466</v>
      </c>
      <c r="E20" s="1" t="s">
        <v>467</v>
      </c>
    </row>
    <row r="21" spans="1:5" x14ac:dyDescent="0.35">
      <c r="A21" s="1" t="s">
        <v>496</v>
      </c>
      <c r="B21" s="1" t="s">
        <v>497</v>
      </c>
      <c r="C21" s="1" t="s">
        <v>489</v>
      </c>
      <c r="D21" s="1" t="s">
        <v>477</v>
      </c>
      <c r="E21" s="1" t="s">
        <v>478</v>
      </c>
    </row>
    <row r="22" spans="1:5" x14ac:dyDescent="0.35">
      <c r="A22" s="1" t="s">
        <v>16</v>
      </c>
      <c r="B22" s="1" t="s">
        <v>498</v>
      </c>
      <c r="C22" s="1" t="s">
        <v>489</v>
      </c>
      <c r="D22" s="1" t="s">
        <v>469</v>
      </c>
      <c r="E22" s="1" t="s">
        <v>470</v>
      </c>
    </row>
    <row r="23" spans="1:5" x14ac:dyDescent="0.35">
      <c r="A23" s="1" t="s">
        <v>296</v>
      </c>
      <c r="B23" s="1" t="s">
        <v>493</v>
      </c>
      <c r="C23" s="1" t="s">
        <v>489</v>
      </c>
      <c r="D23" s="1" t="s">
        <v>486</v>
      </c>
      <c r="E23" s="1" t="s">
        <v>487</v>
      </c>
    </row>
    <row r="24" spans="1:5" x14ac:dyDescent="0.35">
      <c r="A24" s="1" t="s">
        <v>97</v>
      </c>
      <c r="B24" s="1" t="s">
        <v>499</v>
      </c>
      <c r="C24" s="1" t="s">
        <v>489</v>
      </c>
      <c r="D24" s="1" t="s">
        <v>469</v>
      </c>
      <c r="E24" s="1" t="s">
        <v>470</v>
      </c>
    </row>
    <row r="25" spans="1:5" x14ac:dyDescent="0.35">
      <c r="A25" s="1" t="s">
        <v>210</v>
      </c>
      <c r="B25" s="1" t="s">
        <v>500</v>
      </c>
      <c r="C25" s="1" t="s">
        <v>461</v>
      </c>
      <c r="D25" s="1" t="s">
        <v>486</v>
      </c>
      <c r="E25" s="1" t="s">
        <v>487</v>
      </c>
    </row>
    <row r="26" spans="1:5" x14ac:dyDescent="0.35">
      <c r="A26" s="1" t="s">
        <v>129</v>
      </c>
      <c r="B26" s="1" t="s">
        <v>494</v>
      </c>
      <c r="C26" s="1" t="s">
        <v>489</v>
      </c>
      <c r="D26" s="1" t="s">
        <v>486</v>
      </c>
      <c r="E26" s="1" t="s">
        <v>487</v>
      </c>
    </row>
    <row r="27" spans="1:5" x14ac:dyDescent="0.35">
      <c r="A27" s="1" t="s">
        <v>252</v>
      </c>
      <c r="B27" s="1" t="s">
        <v>498</v>
      </c>
      <c r="C27" s="1" t="s">
        <v>489</v>
      </c>
      <c r="D27" s="1" t="s">
        <v>466</v>
      </c>
      <c r="E27" s="1" t="s">
        <v>467</v>
      </c>
    </row>
    <row r="28" spans="1:5" x14ac:dyDescent="0.35">
      <c r="A28" s="1" t="s">
        <v>49</v>
      </c>
      <c r="B28" s="1" t="s">
        <v>501</v>
      </c>
      <c r="C28" s="1" t="s">
        <v>489</v>
      </c>
      <c r="D28" s="1" t="s">
        <v>466</v>
      </c>
      <c r="E28" s="1" t="s">
        <v>467</v>
      </c>
    </row>
    <row r="29" spans="1:5" x14ac:dyDescent="0.35">
      <c r="A29" s="1" t="s">
        <v>144</v>
      </c>
      <c r="B29" s="1" t="s">
        <v>502</v>
      </c>
      <c r="C29" s="1" t="s">
        <v>461</v>
      </c>
      <c r="D29" s="1" t="s">
        <v>469</v>
      </c>
      <c r="E29" s="1" t="s">
        <v>470</v>
      </c>
    </row>
    <row r="30" spans="1:5" x14ac:dyDescent="0.35">
      <c r="A30" s="1" t="s">
        <v>26</v>
      </c>
      <c r="B30" s="1" t="s">
        <v>492</v>
      </c>
      <c r="C30" s="1" t="s">
        <v>489</v>
      </c>
      <c r="D30" s="1" t="s">
        <v>486</v>
      </c>
      <c r="E30" s="1" t="s">
        <v>487</v>
      </c>
    </row>
    <row r="31" spans="1:5" x14ac:dyDescent="0.35">
      <c r="A31" s="1" t="s">
        <v>503</v>
      </c>
      <c r="B31" s="1" t="s">
        <v>494</v>
      </c>
      <c r="C31" s="1" t="s">
        <v>489</v>
      </c>
      <c r="D31" s="1" t="s">
        <v>466</v>
      </c>
      <c r="E31" s="1" t="s">
        <v>467</v>
      </c>
    </row>
    <row r="32" spans="1:5" x14ac:dyDescent="0.35">
      <c r="A32" s="1" t="s">
        <v>375</v>
      </c>
      <c r="B32" s="1" t="s">
        <v>504</v>
      </c>
      <c r="C32" s="1" t="s">
        <v>461</v>
      </c>
      <c r="D32" s="1" t="s">
        <v>466</v>
      </c>
      <c r="E32" s="1" t="s">
        <v>467</v>
      </c>
    </row>
    <row r="33" spans="1:5" x14ac:dyDescent="0.35">
      <c r="A33" s="1" t="s">
        <v>192</v>
      </c>
      <c r="B33" s="1" t="s">
        <v>505</v>
      </c>
      <c r="C33" s="1" t="s">
        <v>461</v>
      </c>
      <c r="D33" s="1" t="s">
        <v>469</v>
      </c>
      <c r="E33" s="1" t="s">
        <v>470</v>
      </c>
    </row>
    <row r="34" spans="1:5" x14ac:dyDescent="0.35">
      <c r="A34" s="1" t="s">
        <v>101</v>
      </c>
      <c r="B34" s="1" t="s">
        <v>506</v>
      </c>
      <c r="C34" s="1" t="s">
        <v>461</v>
      </c>
      <c r="D34" s="1" t="s">
        <v>490</v>
      </c>
      <c r="E34" s="1" t="s">
        <v>491</v>
      </c>
    </row>
    <row r="35" spans="1:5" x14ac:dyDescent="0.35">
      <c r="A35" s="1" t="s">
        <v>398</v>
      </c>
      <c r="B35" s="1" t="s">
        <v>507</v>
      </c>
      <c r="C35" s="1" t="s">
        <v>489</v>
      </c>
      <c r="D35" s="1" t="s">
        <v>490</v>
      </c>
      <c r="E35" s="1" t="s">
        <v>491</v>
      </c>
    </row>
    <row r="36" spans="1:5" x14ac:dyDescent="0.35">
      <c r="A36" s="1" t="s">
        <v>291</v>
      </c>
      <c r="B36" s="1" t="s">
        <v>508</v>
      </c>
      <c r="C36" s="1" t="s">
        <v>461</v>
      </c>
      <c r="D36" s="1" t="s">
        <v>486</v>
      </c>
      <c r="E36" s="1" t="s">
        <v>487</v>
      </c>
    </row>
    <row r="37" spans="1:5" x14ac:dyDescent="0.35">
      <c r="A37" s="1" t="s">
        <v>381</v>
      </c>
      <c r="B37" s="1" t="s">
        <v>468</v>
      </c>
      <c r="C37" s="1" t="s">
        <v>461</v>
      </c>
      <c r="D37" s="1" t="s">
        <v>477</v>
      </c>
      <c r="E37" s="1" t="s">
        <v>478</v>
      </c>
    </row>
    <row r="38" spans="1:5" x14ac:dyDescent="0.35">
      <c r="A38" s="1" t="s">
        <v>179</v>
      </c>
      <c r="B38" s="1" t="s">
        <v>464</v>
      </c>
      <c r="C38" s="1" t="s">
        <v>489</v>
      </c>
      <c r="D38" s="1" t="s">
        <v>486</v>
      </c>
      <c r="E38" s="1" t="s">
        <v>487</v>
      </c>
    </row>
    <row r="39" spans="1:5" x14ac:dyDescent="0.35">
      <c r="A39" s="1" t="s">
        <v>509</v>
      </c>
      <c r="B39" s="1" t="s">
        <v>510</v>
      </c>
      <c r="C39" s="1" t="s">
        <v>461</v>
      </c>
      <c r="D39" s="1" t="s">
        <v>469</v>
      </c>
      <c r="E39" s="1" t="s">
        <v>470</v>
      </c>
    </row>
    <row r="40" spans="1:5" x14ac:dyDescent="0.35">
      <c r="A40" s="1" t="s">
        <v>240</v>
      </c>
      <c r="B40" s="1" t="s">
        <v>511</v>
      </c>
      <c r="C40" s="1" t="s">
        <v>489</v>
      </c>
      <c r="D40" s="1" t="s">
        <v>469</v>
      </c>
      <c r="E40" s="1" t="s">
        <v>470</v>
      </c>
    </row>
    <row r="41" spans="1:5" x14ac:dyDescent="0.35">
      <c r="A41" s="1" t="s">
        <v>149</v>
      </c>
      <c r="B41" s="1" t="s">
        <v>512</v>
      </c>
      <c r="C41" s="1" t="s">
        <v>465</v>
      </c>
      <c r="D41" s="1" t="s">
        <v>469</v>
      </c>
      <c r="E41" s="1" t="s">
        <v>470</v>
      </c>
    </row>
    <row r="42" spans="1:5" x14ac:dyDescent="0.35">
      <c r="A42" s="1" t="s">
        <v>125</v>
      </c>
      <c r="B42" s="1" t="s">
        <v>513</v>
      </c>
      <c r="C42" s="1" t="s">
        <v>461</v>
      </c>
      <c r="D42" s="1" t="s">
        <v>469</v>
      </c>
      <c r="E42" s="1" t="s">
        <v>470</v>
      </c>
    </row>
    <row r="43" spans="1:5" x14ac:dyDescent="0.35">
      <c r="A43" s="1" t="s">
        <v>62</v>
      </c>
      <c r="B43" s="1" t="s">
        <v>471</v>
      </c>
      <c r="C43" s="1" t="s">
        <v>465</v>
      </c>
      <c r="D43" s="1" t="s">
        <v>469</v>
      </c>
      <c r="E43" s="1" t="s">
        <v>470</v>
      </c>
    </row>
    <row r="44" spans="1:5" x14ac:dyDescent="0.35">
      <c r="A44" s="1" t="s">
        <v>364</v>
      </c>
      <c r="B44" s="1" t="s">
        <v>514</v>
      </c>
      <c r="C44" s="1" t="s">
        <v>489</v>
      </c>
      <c r="D44" s="1" t="s">
        <v>466</v>
      </c>
      <c r="E44" s="1" t="s">
        <v>467</v>
      </c>
    </row>
    <row r="45" spans="1:5" x14ac:dyDescent="0.35">
      <c r="A45" s="1" t="s">
        <v>42</v>
      </c>
      <c r="B45" s="1" t="s">
        <v>515</v>
      </c>
      <c r="C45" s="1" t="s">
        <v>461</v>
      </c>
      <c r="D45" s="1" t="s">
        <v>490</v>
      </c>
      <c r="E45" s="1" t="s">
        <v>491</v>
      </c>
    </row>
    <row r="46" spans="1:5" x14ac:dyDescent="0.35">
      <c r="A46" s="1" t="s">
        <v>91</v>
      </c>
      <c r="B46" s="1" t="s">
        <v>464</v>
      </c>
      <c r="C46" s="1" t="s">
        <v>489</v>
      </c>
      <c r="D46" s="1" t="s">
        <v>469</v>
      </c>
      <c r="E46" s="1" t="s">
        <v>470</v>
      </c>
    </row>
    <row r="47" spans="1:5" x14ac:dyDescent="0.35">
      <c r="A47" s="1" t="s">
        <v>86</v>
      </c>
      <c r="B47" s="1" t="s">
        <v>464</v>
      </c>
      <c r="C47" s="1" t="s">
        <v>465</v>
      </c>
      <c r="D47" s="1" t="s">
        <v>477</v>
      </c>
      <c r="E47" s="1" t="s">
        <v>478</v>
      </c>
    </row>
    <row r="48" spans="1:5" x14ac:dyDescent="0.35">
      <c r="A48" s="1" t="s">
        <v>111</v>
      </c>
      <c r="B48" s="1" t="s">
        <v>500</v>
      </c>
      <c r="C48" s="1" t="s">
        <v>489</v>
      </c>
      <c r="D48" s="1" t="s">
        <v>477</v>
      </c>
      <c r="E48" s="1" t="s">
        <v>478</v>
      </c>
    </row>
    <row r="49" spans="1:5" x14ac:dyDescent="0.35">
      <c r="A49" s="1" t="s">
        <v>302</v>
      </c>
      <c r="B49" s="1" t="s">
        <v>471</v>
      </c>
      <c r="C49" s="1" t="s">
        <v>461</v>
      </c>
      <c r="D49" s="1" t="s">
        <v>477</v>
      </c>
      <c r="E49" s="1" t="s">
        <v>478</v>
      </c>
    </row>
    <row r="50" spans="1:5" x14ac:dyDescent="0.35">
      <c r="A50" s="1" t="s">
        <v>516</v>
      </c>
      <c r="B50" s="1" t="s">
        <v>517</v>
      </c>
      <c r="C50" s="1" t="s">
        <v>461</v>
      </c>
      <c r="D50" s="1" t="s">
        <v>477</v>
      </c>
      <c r="E50" s="1" t="s">
        <v>478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53A3-2E60-4A2B-A391-7AD2E5060857}">
  <sheetPr>
    <tabColor theme="5" tint="0.79998168889431442"/>
  </sheetPr>
  <dimension ref="A1:B6"/>
  <sheetViews>
    <sheetView workbookViewId="0">
      <selection activeCell="E10" sqref="E10"/>
    </sheetView>
  </sheetViews>
  <sheetFormatPr defaultRowHeight="14.5" x14ac:dyDescent="0.35"/>
  <cols>
    <col min="1" max="1" width="10.1796875" customWidth="1"/>
    <col min="2" max="2" width="10.81640625" bestFit="1" customWidth="1"/>
  </cols>
  <sheetData>
    <row r="1" spans="1:2" x14ac:dyDescent="0.35">
      <c r="A1" s="47" t="s">
        <v>6</v>
      </c>
      <c r="B1" s="47" t="s">
        <v>455</v>
      </c>
    </row>
    <row r="2" spans="1:2" x14ac:dyDescent="0.35">
      <c r="A2" s="1" t="s">
        <v>64</v>
      </c>
      <c r="B2" s="3">
        <v>97500</v>
      </c>
    </row>
    <row r="3" spans="1:2" x14ac:dyDescent="0.35">
      <c r="A3" s="1" t="s">
        <v>28</v>
      </c>
      <c r="B3" s="3">
        <v>50500</v>
      </c>
    </row>
    <row r="4" spans="1:2" x14ac:dyDescent="0.35">
      <c r="A4" s="1" t="s">
        <v>18</v>
      </c>
      <c r="B4" s="3">
        <v>105000</v>
      </c>
    </row>
    <row r="5" spans="1:2" x14ac:dyDescent="0.35">
      <c r="A5" s="1" t="s">
        <v>35</v>
      </c>
      <c r="B5" s="3">
        <v>91500</v>
      </c>
    </row>
    <row r="6" spans="1:2" x14ac:dyDescent="0.35">
      <c r="A6" s="1" t="s">
        <v>72</v>
      </c>
      <c r="B6" s="3">
        <v>90750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2D4F-6E8D-4EA1-AAD2-0B2ADED4F640}">
  <sheetPr>
    <tabColor theme="9" tint="0.79998168889431442"/>
  </sheetPr>
  <dimension ref="A1:T101"/>
  <sheetViews>
    <sheetView topLeftCell="K1" workbookViewId="0">
      <pane ySplit="1" topLeftCell="A2" activePane="bottomLeft" state="frozen"/>
      <selection activeCell="J1" sqref="J1"/>
      <selection pane="bottomLeft" activeCell="Q10" sqref="Q10"/>
    </sheetView>
  </sheetViews>
  <sheetFormatPr defaultRowHeight="14.5" x14ac:dyDescent="0.35"/>
  <cols>
    <col min="1" max="1" width="10.26953125" bestFit="1" customWidth="1"/>
    <col min="2" max="2" width="14.7265625" style="5" bestFit="1" customWidth="1"/>
    <col min="3" max="3" width="14.7265625" style="5" customWidth="1"/>
    <col min="4" max="4" width="16.54296875" style="5" bestFit="1" customWidth="1"/>
    <col min="5" max="5" width="15.26953125" style="5" bestFit="1" customWidth="1"/>
    <col min="6" max="6" width="13.54296875" bestFit="1" customWidth="1"/>
    <col min="7" max="7" width="12" bestFit="1" customWidth="1"/>
    <col min="8" max="8" width="8.7265625" bestFit="1" customWidth="1"/>
    <col min="9" max="9" width="13.1796875" bestFit="1" customWidth="1"/>
    <col min="10" max="10" width="8.1796875" bestFit="1" customWidth="1"/>
    <col min="11" max="11" width="13.6328125" style="13" bestFit="1" customWidth="1"/>
    <col min="12" max="12" width="17.81640625" bestFit="1" customWidth="1"/>
    <col min="13" max="13" width="15.6328125" bestFit="1" customWidth="1"/>
    <col min="14" max="14" width="18.90625" bestFit="1" customWidth="1"/>
    <col min="15" max="15" width="17.7265625" bestFit="1" customWidth="1"/>
    <col min="16" max="16" width="15.36328125" bestFit="1" customWidth="1"/>
    <col min="17" max="17" width="14.26953125" bestFit="1" customWidth="1"/>
    <col min="18" max="18" width="21.26953125" bestFit="1" customWidth="1"/>
    <col min="19" max="19" width="12.6328125" bestFit="1" customWidth="1"/>
    <col min="20" max="20" width="14.453125" bestFit="1" customWidth="1"/>
  </cols>
  <sheetData>
    <row r="1" spans="1:20" x14ac:dyDescent="0.35">
      <c r="A1" s="8" t="s">
        <v>0</v>
      </c>
      <c r="B1" s="10" t="s">
        <v>1</v>
      </c>
      <c r="C1" s="10" t="s">
        <v>530</v>
      </c>
      <c r="D1" s="10" t="s">
        <v>2</v>
      </c>
      <c r="E1" s="10" t="s">
        <v>3</v>
      </c>
      <c r="F1" s="8" t="s">
        <v>4</v>
      </c>
      <c r="G1" s="8" t="s">
        <v>5</v>
      </c>
      <c r="H1" s="8" t="s">
        <v>6</v>
      </c>
      <c r="I1" s="9" t="s">
        <v>7</v>
      </c>
      <c r="J1" s="9" t="s">
        <v>8</v>
      </c>
      <c r="K1" s="11" t="s">
        <v>521</v>
      </c>
      <c r="L1" s="8" t="s">
        <v>10</v>
      </c>
      <c r="M1" s="8" t="s">
        <v>11</v>
      </c>
      <c r="N1" s="8" t="s">
        <v>12</v>
      </c>
      <c r="O1" s="8" t="s">
        <v>522</v>
      </c>
      <c r="P1" s="8" t="s">
        <v>518</v>
      </c>
      <c r="Q1" s="8" t="s">
        <v>523</v>
      </c>
      <c r="R1" s="8" t="s">
        <v>524</v>
      </c>
      <c r="S1" s="17" t="s">
        <v>525</v>
      </c>
      <c r="T1" s="8" t="s">
        <v>456</v>
      </c>
    </row>
    <row r="2" spans="1:20" x14ac:dyDescent="0.35">
      <c r="A2" s="1" t="s">
        <v>13</v>
      </c>
      <c r="B2" s="4" t="s">
        <v>14</v>
      </c>
      <c r="C2" s="4" t="str">
        <f>TEXT(B2,"mmm")</f>
        <v>Dec</v>
      </c>
      <c r="D2" s="4"/>
      <c r="E2" s="4" t="s">
        <v>15</v>
      </c>
      <c r="F2" s="1" t="s">
        <v>16</v>
      </c>
      <c r="G2" s="1" t="s">
        <v>17</v>
      </c>
      <c r="H2" s="1" t="s">
        <v>18</v>
      </c>
      <c r="I2" s="2">
        <v>44</v>
      </c>
      <c r="J2" s="2">
        <v>1</v>
      </c>
      <c r="K2" s="12">
        <v>44</v>
      </c>
      <c r="L2" s="1" t="s">
        <v>20</v>
      </c>
      <c r="M2" s="1" t="s">
        <v>21</v>
      </c>
      <c r="N2" s="1" t="s">
        <v>22</v>
      </c>
      <c r="O2" s="16" t="str">
        <f>_xlfn.XLOOKUP(G2,ProductMaster!$A$2:$A$23,ProductMaster!$C$2:$C$23,"Not Found")</f>
        <v>Home</v>
      </c>
      <c r="P2" t="str">
        <f>IF(M2="Cancelled","Cancelled",IF(M2="delivered","Delivered","Active"))</f>
        <v>Cancelled</v>
      </c>
      <c r="Q2" s="16" t="str">
        <f>IF(M2="delivered",D2-B2,"")</f>
        <v/>
      </c>
      <c r="R2" s="16" t="str">
        <f>IF(M2="Delivered",IF(D2-B2&lt;=2,"Fast","Slow"),"Not Delivered")</f>
        <v>Not Delivered</v>
      </c>
      <c r="S2" s="16">
        <f>IF(M2="delivered",K2,0)</f>
        <v>0</v>
      </c>
      <c r="T2" t="str">
        <f>_xlfn.XLOOKUP(F2,CustomerMaster!$A$2:$A$50,CustomerMaster!$B$2:$B$50,"Not Found")</f>
        <v>Zoe Mitchell</v>
      </c>
    </row>
    <row r="3" spans="1:20" x14ac:dyDescent="0.35">
      <c r="A3" s="1" t="s">
        <v>23</v>
      </c>
      <c r="B3" s="4" t="s">
        <v>24</v>
      </c>
      <c r="C3" s="4" t="str">
        <f t="shared" ref="C3:C66" si="0">TEXT(B3,"mmm")</f>
        <v>Feb</v>
      </c>
      <c r="D3" s="4" t="s">
        <v>25</v>
      </c>
      <c r="E3" s="4"/>
      <c r="F3" s="1" t="s">
        <v>26</v>
      </c>
      <c r="G3" s="1" t="s">
        <v>27</v>
      </c>
      <c r="H3" s="1" t="s">
        <v>28</v>
      </c>
      <c r="I3" s="2">
        <v>96</v>
      </c>
      <c r="J3" s="2">
        <v>4</v>
      </c>
      <c r="K3" s="12">
        <v>384</v>
      </c>
      <c r="L3" s="1" t="s">
        <v>30</v>
      </c>
      <c r="M3" s="1" t="s">
        <v>31</v>
      </c>
      <c r="N3" s="1" t="s">
        <v>22</v>
      </c>
      <c r="O3" s="16" t="str">
        <f>_xlfn.XLOOKUP(G3,ProductMaster!$A$2:$A$23,ProductMaster!$C$2:$C$23,"Not Found")</f>
        <v>Toys</v>
      </c>
      <c r="P3" t="str">
        <f t="shared" ref="P3:P66" si="1">IF(M3="Cancelled","Cancelled",IF(M3="delivered","Delivered","Active"))</f>
        <v>Delivered</v>
      </c>
      <c r="Q3" s="16">
        <f t="shared" ref="Q3:Q66" si="2">IF(M3="delivered",D3-B3,"")</f>
        <v>2</v>
      </c>
      <c r="R3" s="16" t="str">
        <f t="shared" ref="R3:R66" si="3">IF(M3="Delivered",IF(D3-B3&lt;=2,"Fast","Slow"),"Not Delivered")</f>
        <v>Fast</v>
      </c>
      <c r="S3" s="16">
        <f t="shared" ref="S3:S66" si="4">IF(M3="delivered",K3,0)</f>
        <v>384</v>
      </c>
      <c r="T3" t="str">
        <f>_xlfn.XLOOKUP(F3,CustomerMaster!$A$2:$A$50,CustomerMaster!$B$2:$B$50,"Not Found")</f>
        <v>Ava White</v>
      </c>
    </row>
    <row r="4" spans="1:20" x14ac:dyDescent="0.35">
      <c r="A4" s="1" t="s">
        <v>32</v>
      </c>
      <c r="B4" s="4" t="s">
        <v>33</v>
      </c>
      <c r="C4" s="4" t="str">
        <f t="shared" si="0"/>
        <v>Oct</v>
      </c>
      <c r="D4" s="4"/>
      <c r="E4" s="4"/>
      <c r="F4" s="1" t="s">
        <v>16</v>
      </c>
      <c r="G4" s="1" t="s">
        <v>34</v>
      </c>
      <c r="H4" s="1" t="s">
        <v>35</v>
      </c>
      <c r="I4" s="2">
        <v>194</v>
      </c>
      <c r="J4" s="2">
        <v>4</v>
      </c>
      <c r="K4" s="12">
        <v>776</v>
      </c>
      <c r="L4" s="1" t="s">
        <v>30</v>
      </c>
      <c r="M4" s="1" t="s">
        <v>37</v>
      </c>
      <c r="N4" s="1" t="s">
        <v>38</v>
      </c>
      <c r="O4" s="16" t="str">
        <f>_xlfn.XLOOKUP(G4,ProductMaster!$A$2:$A$23,ProductMaster!$C$2:$C$23,"Not Found")</f>
        <v>Home</v>
      </c>
      <c r="P4" t="str">
        <f t="shared" si="1"/>
        <v>Active</v>
      </c>
      <c r="Q4" s="16" t="str">
        <f t="shared" si="2"/>
        <v/>
      </c>
      <c r="R4" s="16" t="str">
        <f t="shared" si="3"/>
        <v>Not Delivered</v>
      </c>
      <c r="S4" s="16">
        <f t="shared" si="4"/>
        <v>0</v>
      </c>
      <c r="T4" t="str">
        <f>_xlfn.XLOOKUP(F4,CustomerMaster!$A$2:$A$50,CustomerMaster!$B$2:$B$50,"Not Found")</f>
        <v>Zoe Mitchell</v>
      </c>
    </row>
    <row r="5" spans="1:20" x14ac:dyDescent="0.35">
      <c r="A5" s="1" t="s">
        <v>39</v>
      </c>
      <c r="B5" s="4" t="s">
        <v>40</v>
      </c>
      <c r="C5" s="4" t="str">
        <f t="shared" si="0"/>
        <v>May</v>
      </c>
      <c r="D5" s="4"/>
      <c r="E5" s="4" t="s">
        <v>41</v>
      </c>
      <c r="F5" s="1" t="s">
        <v>42</v>
      </c>
      <c r="G5" s="1" t="s">
        <v>34</v>
      </c>
      <c r="H5" s="1" t="s">
        <v>18</v>
      </c>
      <c r="I5" s="2">
        <v>196</v>
      </c>
      <c r="J5" s="2">
        <v>3</v>
      </c>
      <c r="K5" s="12">
        <v>196</v>
      </c>
      <c r="L5" s="1" t="s">
        <v>44</v>
      </c>
      <c r="M5" s="1" t="s">
        <v>21</v>
      </c>
      <c r="N5" s="1" t="s">
        <v>45</v>
      </c>
      <c r="O5" s="16" t="str">
        <f>_xlfn.XLOOKUP(G5,ProductMaster!$A$2:$A$23,ProductMaster!$C$2:$C$23,"Not Found")</f>
        <v>Home</v>
      </c>
      <c r="P5" t="str">
        <f t="shared" si="1"/>
        <v>Cancelled</v>
      </c>
      <c r="Q5" s="16" t="str">
        <f t="shared" si="2"/>
        <v/>
      </c>
      <c r="R5" s="16" t="str">
        <f t="shared" si="3"/>
        <v>Not Delivered</v>
      </c>
      <c r="S5" s="16">
        <f t="shared" si="4"/>
        <v>0</v>
      </c>
      <c r="T5" t="str">
        <f>_xlfn.XLOOKUP(F5,CustomerMaster!$A$2:$A$50,CustomerMaster!$B$2:$B$50,"Not Found")</f>
        <v>Grace Ward</v>
      </c>
    </row>
    <row r="6" spans="1:20" x14ac:dyDescent="0.35">
      <c r="A6" s="1" t="s">
        <v>46</v>
      </c>
      <c r="B6" s="4" t="s">
        <v>47</v>
      </c>
      <c r="C6" s="4" t="str">
        <f t="shared" si="0"/>
        <v>Feb</v>
      </c>
      <c r="D6" s="4" t="s">
        <v>48</v>
      </c>
      <c r="E6" s="4"/>
      <c r="F6" s="1" t="s">
        <v>49</v>
      </c>
      <c r="G6" s="1" t="s">
        <v>50</v>
      </c>
      <c r="H6" s="1" t="s">
        <v>18</v>
      </c>
      <c r="I6" s="2">
        <v>59</v>
      </c>
      <c r="J6" s="2">
        <v>1</v>
      </c>
      <c r="K6" s="12">
        <v>59</v>
      </c>
      <c r="L6" s="1" t="s">
        <v>44</v>
      </c>
      <c r="M6" s="1" t="s">
        <v>31</v>
      </c>
      <c r="N6" s="1" t="s">
        <v>52</v>
      </c>
      <c r="O6" s="16" t="str">
        <f>_xlfn.XLOOKUP(G6,ProductMaster!$A$2:$A$23,ProductMaster!$C$2:$C$23,"Not Found")</f>
        <v>Fashion</v>
      </c>
      <c r="P6" t="str">
        <f t="shared" si="1"/>
        <v>Delivered</v>
      </c>
      <c r="Q6" s="16">
        <f t="shared" si="2"/>
        <v>3</v>
      </c>
      <c r="R6" s="16" t="str">
        <f t="shared" si="3"/>
        <v>Slow</v>
      </c>
      <c r="S6" s="16">
        <f t="shared" si="4"/>
        <v>59</v>
      </c>
      <c r="T6" t="str">
        <f>_xlfn.XLOOKUP(F6,CustomerMaster!$A$2:$A$50,CustomerMaster!$B$2:$B$50,"Not Found")</f>
        <v>Hazel Brooks</v>
      </c>
    </row>
    <row r="7" spans="1:20" x14ac:dyDescent="0.35">
      <c r="A7" s="1" t="s">
        <v>53</v>
      </c>
      <c r="B7" s="4" t="s">
        <v>54</v>
      </c>
      <c r="C7" s="4" t="str">
        <f t="shared" si="0"/>
        <v>Nov</v>
      </c>
      <c r="D7" s="4"/>
      <c r="E7" s="4" t="s">
        <v>55</v>
      </c>
      <c r="F7" s="1" t="s">
        <v>56</v>
      </c>
      <c r="G7" s="1" t="s">
        <v>50</v>
      </c>
      <c r="H7" s="1" t="s">
        <v>18</v>
      </c>
      <c r="I7" s="2">
        <v>58</v>
      </c>
      <c r="J7" s="2">
        <v>4</v>
      </c>
      <c r="K7" s="12">
        <v>58</v>
      </c>
      <c r="L7" s="1" t="s">
        <v>58</v>
      </c>
      <c r="M7" s="1" t="s">
        <v>21</v>
      </c>
      <c r="N7" s="1" t="s">
        <v>22</v>
      </c>
      <c r="O7" s="16" t="str">
        <f>_xlfn.XLOOKUP(G7,ProductMaster!$A$2:$A$23,ProductMaster!$C$2:$C$23,"Not Found")</f>
        <v>Fashion</v>
      </c>
      <c r="P7" t="str">
        <f t="shared" si="1"/>
        <v>Cancelled</v>
      </c>
      <c r="Q7" s="16" t="str">
        <f t="shared" si="2"/>
        <v/>
      </c>
      <c r="R7" s="16" t="str">
        <f t="shared" si="3"/>
        <v>Not Delivered</v>
      </c>
      <c r="S7" s="16">
        <f t="shared" si="4"/>
        <v>0</v>
      </c>
      <c r="T7" t="str">
        <f>_xlfn.XLOOKUP(F7,CustomerMaster!$A$2:$A$50,CustomerMaster!$B$2:$B$50,"Not Found")</f>
        <v>Jackson Allen</v>
      </c>
    </row>
    <row r="8" spans="1:20" x14ac:dyDescent="0.35">
      <c r="A8" s="1" t="s">
        <v>59</v>
      </c>
      <c r="B8" s="4" t="s">
        <v>60</v>
      </c>
      <c r="C8" s="4" t="str">
        <f t="shared" si="0"/>
        <v>Aug</v>
      </c>
      <c r="D8" s="4"/>
      <c r="E8" s="4" t="s">
        <v>61</v>
      </c>
      <c r="F8" s="1" t="s">
        <v>62</v>
      </c>
      <c r="G8" s="1" t="s">
        <v>63</v>
      </c>
      <c r="H8" s="1" t="s">
        <v>64</v>
      </c>
      <c r="I8" s="2">
        <v>105</v>
      </c>
      <c r="J8" s="2">
        <v>3</v>
      </c>
      <c r="K8" s="12">
        <v>105</v>
      </c>
      <c r="L8" s="1" t="s">
        <v>66</v>
      </c>
      <c r="M8" s="1" t="s">
        <v>21</v>
      </c>
      <c r="N8" s="1" t="s">
        <v>22</v>
      </c>
      <c r="O8" s="16" t="str">
        <f>_xlfn.XLOOKUP(G8,ProductMaster!$A$2:$A$23,ProductMaster!$C$2:$C$23,"Not Found")</f>
        <v>Electronics</v>
      </c>
      <c r="P8" t="str">
        <f t="shared" si="1"/>
        <v>Cancelled</v>
      </c>
      <c r="Q8" s="16" t="str">
        <f t="shared" si="2"/>
        <v/>
      </c>
      <c r="R8" s="16" t="str">
        <f t="shared" si="3"/>
        <v>Not Delivered</v>
      </c>
      <c r="S8" s="16">
        <f t="shared" si="4"/>
        <v>0</v>
      </c>
      <c r="T8" t="str">
        <f>_xlfn.XLOOKUP(F8,CustomerMaster!$A$2:$A$50,CustomerMaster!$B$2:$B$50,"Not Found")</f>
        <v>Noah Wilson</v>
      </c>
    </row>
    <row r="9" spans="1:20" x14ac:dyDescent="0.35">
      <c r="A9" s="1" t="s">
        <v>67</v>
      </c>
      <c r="B9" s="4" t="s">
        <v>68</v>
      </c>
      <c r="C9" s="4" t="str">
        <f t="shared" si="0"/>
        <v>Apr</v>
      </c>
      <c r="D9" s="4"/>
      <c r="E9" s="4" t="s">
        <v>69</v>
      </c>
      <c r="F9" s="1" t="s">
        <v>70</v>
      </c>
      <c r="G9" s="1" t="s">
        <v>71</v>
      </c>
      <c r="H9" s="1" t="s">
        <v>72</v>
      </c>
      <c r="I9" s="2">
        <v>37</v>
      </c>
      <c r="J9" s="2">
        <v>5</v>
      </c>
      <c r="K9" s="12">
        <v>37</v>
      </c>
      <c r="L9" s="1" t="s">
        <v>44</v>
      </c>
      <c r="M9" s="1" t="s">
        <v>21</v>
      </c>
      <c r="N9" s="1" t="s">
        <v>22</v>
      </c>
      <c r="O9" s="16" t="str">
        <f>_xlfn.XLOOKUP(G9,ProductMaster!$A$2:$A$23,ProductMaster!$C$2:$C$23,"Not Found")</f>
        <v>Home</v>
      </c>
      <c r="P9" t="str">
        <f t="shared" si="1"/>
        <v>Cancelled</v>
      </c>
      <c r="Q9" s="16" t="str">
        <f t="shared" si="2"/>
        <v/>
      </c>
      <c r="R9" s="16" t="str">
        <f t="shared" si="3"/>
        <v>Not Delivered</v>
      </c>
      <c r="S9" s="16">
        <f t="shared" si="4"/>
        <v>0</v>
      </c>
      <c r="T9" t="str">
        <f>_xlfn.XLOOKUP(F9,CustomerMaster!$A$2:$A$50,CustomerMaster!$B$2:$B$50,"Not Found")</f>
        <v>Ava Robinson</v>
      </c>
    </row>
    <row r="10" spans="1:20" x14ac:dyDescent="0.35">
      <c r="A10" s="1" t="s">
        <v>74</v>
      </c>
      <c r="B10" s="4" t="s">
        <v>75</v>
      </c>
      <c r="C10" s="4" t="str">
        <f t="shared" si="0"/>
        <v>Jul</v>
      </c>
      <c r="D10" s="4"/>
      <c r="E10" s="4"/>
      <c r="F10" s="1" t="s">
        <v>76</v>
      </c>
      <c r="G10" s="1" t="s">
        <v>77</v>
      </c>
      <c r="H10" s="1" t="s">
        <v>64</v>
      </c>
      <c r="I10" s="2">
        <v>44</v>
      </c>
      <c r="J10" s="2">
        <v>2</v>
      </c>
      <c r="K10" s="12">
        <v>88</v>
      </c>
      <c r="L10" s="1" t="s">
        <v>30</v>
      </c>
      <c r="M10" s="1" t="s">
        <v>37</v>
      </c>
      <c r="N10" s="1" t="s">
        <v>52</v>
      </c>
      <c r="O10" s="16" t="str">
        <f>_xlfn.XLOOKUP(G10,ProductMaster!$A$2:$A$23,ProductMaster!$C$2:$C$23,"Not Found")</f>
        <v>Fashion</v>
      </c>
      <c r="P10" t="str">
        <f t="shared" si="1"/>
        <v>Active</v>
      </c>
      <c r="Q10" s="16" t="str">
        <f t="shared" si="2"/>
        <v/>
      </c>
      <c r="R10" s="16" t="str">
        <f t="shared" si="3"/>
        <v>Not Delivered</v>
      </c>
      <c r="S10" s="16">
        <f t="shared" si="4"/>
        <v>0</v>
      </c>
      <c r="T10" t="str">
        <f>_xlfn.XLOOKUP(F10,CustomerMaster!$A$2:$A$50,CustomerMaster!$B$2:$B$50,"Not Found")</f>
        <v>Olivia Martinez</v>
      </c>
    </row>
    <row r="11" spans="1:20" x14ac:dyDescent="0.35">
      <c r="A11" s="1" t="s">
        <v>79</v>
      </c>
      <c r="B11" s="4" t="s">
        <v>80</v>
      </c>
      <c r="C11" s="4" t="str">
        <f t="shared" si="0"/>
        <v>Dec</v>
      </c>
      <c r="D11" s="4"/>
      <c r="E11" s="4"/>
      <c r="F11" s="1" t="s">
        <v>70</v>
      </c>
      <c r="G11" s="1" t="s">
        <v>81</v>
      </c>
      <c r="H11" s="1" t="s">
        <v>35</v>
      </c>
      <c r="I11" s="2">
        <v>141</v>
      </c>
      <c r="J11" s="2">
        <v>4</v>
      </c>
      <c r="K11" s="12">
        <v>564</v>
      </c>
      <c r="L11" s="1" t="s">
        <v>66</v>
      </c>
      <c r="M11" s="1" t="s">
        <v>37</v>
      </c>
      <c r="N11" s="1" t="s">
        <v>22</v>
      </c>
      <c r="O11" s="16" t="str">
        <f>_xlfn.XLOOKUP(G11,ProductMaster!$A$2:$A$23,ProductMaster!$C$2:$C$23,"Not Found")</f>
        <v>Home</v>
      </c>
      <c r="P11" t="str">
        <f t="shared" si="1"/>
        <v>Active</v>
      </c>
      <c r="Q11" s="16" t="str">
        <f t="shared" si="2"/>
        <v/>
      </c>
      <c r="R11" s="16" t="str">
        <f t="shared" si="3"/>
        <v>Not Delivered</v>
      </c>
      <c r="S11" s="16">
        <f t="shared" si="4"/>
        <v>0</v>
      </c>
      <c r="T11" t="str">
        <f>_xlfn.XLOOKUP(F11,CustomerMaster!$A$2:$A$50,CustomerMaster!$B$2:$B$50,"Not Found")</f>
        <v>Ava Robinson</v>
      </c>
    </row>
    <row r="12" spans="1:20" x14ac:dyDescent="0.35">
      <c r="A12" s="1" t="s">
        <v>83</v>
      </c>
      <c r="B12" s="4" t="s">
        <v>84</v>
      </c>
      <c r="C12" s="4" t="str">
        <f t="shared" si="0"/>
        <v>May</v>
      </c>
      <c r="D12" s="4"/>
      <c r="E12" s="4" t="s">
        <v>85</v>
      </c>
      <c r="F12" s="1" t="s">
        <v>86</v>
      </c>
      <c r="G12" s="1" t="s">
        <v>87</v>
      </c>
      <c r="H12" s="1" t="s">
        <v>35</v>
      </c>
      <c r="I12" s="2">
        <v>249</v>
      </c>
      <c r="J12" s="2">
        <v>1</v>
      </c>
      <c r="K12" s="12">
        <v>249</v>
      </c>
      <c r="L12" s="1" t="s">
        <v>58</v>
      </c>
      <c r="M12" s="1" t="s">
        <v>21</v>
      </c>
      <c r="N12" s="1" t="s">
        <v>38</v>
      </c>
      <c r="O12" s="16" t="str">
        <f>_xlfn.XLOOKUP(G12,ProductMaster!$A$2:$A$23,ProductMaster!$C$2:$C$23,"Not Found")</f>
        <v>Electronics</v>
      </c>
      <c r="P12" t="str">
        <f t="shared" si="1"/>
        <v>Cancelled</v>
      </c>
      <c r="Q12" s="16" t="str">
        <f t="shared" si="2"/>
        <v/>
      </c>
      <c r="R12" s="16" t="str">
        <f t="shared" si="3"/>
        <v>Not Delivered</v>
      </c>
      <c r="S12" s="16">
        <f t="shared" si="4"/>
        <v>0</v>
      </c>
      <c r="T12" t="str">
        <f>_xlfn.XLOOKUP(F12,CustomerMaster!$A$2:$A$50,CustomerMaster!$B$2:$B$50,"Not Found")</f>
        <v>Emily Johnson</v>
      </c>
    </row>
    <row r="13" spans="1:20" x14ac:dyDescent="0.35">
      <c r="A13" s="1" t="s">
        <v>89</v>
      </c>
      <c r="B13" s="4" t="s">
        <v>90</v>
      </c>
      <c r="C13" s="4" t="str">
        <f t="shared" si="0"/>
        <v>Jul</v>
      </c>
      <c r="D13" s="4"/>
      <c r="E13" s="4"/>
      <c r="F13" s="1" t="s">
        <v>91</v>
      </c>
      <c r="G13" s="1" t="s">
        <v>87</v>
      </c>
      <c r="H13" s="1" t="s">
        <v>64</v>
      </c>
      <c r="I13" s="2">
        <v>247</v>
      </c>
      <c r="J13" s="2">
        <v>3</v>
      </c>
      <c r="K13" s="12">
        <v>741</v>
      </c>
      <c r="L13" s="1" t="s">
        <v>58</v>
      </c>
      <c r="M13" s="1" t="s">
        <v>37</v>
      </c>
      <c r="N13" s="1" t="s">
        <v>93</v>
      </c>
      <c r="O13" s="16" t="str">
        <f>_xlfn.XLOOKUP(G13,ProductMaster!$A$2:$A$23,ProductMaster!$C$2:$C$23,"Not Found")</f>
        <v>Electronics</v>
      </c>
      <c r="P13" t="str">
        <f t="shared" si="1"/>
        <v>Active</v>
      </c>
      <c r="Q13" s="16" t="str">
        <f t="shared" si="2"/>
        <v/>
      </c>
      <c r="R13" s="16" t="str">
        <f t="shared" si="3"/>
        <v>Not Delivered</v>
      </c>
      <c r="S13" s="16">
        <f t="shared" si="4"/>
        <v>0</v>
      </c>
      <c r="T13" t="str">
        <f>_xlfn.XLOOKUP(F13,CustomerMaster!$A$2:$A$50,CustomerMaster!$B$2:$B$50,"Not Found")</f>
        <v>Emily Johnson</v>
      </c>
    </row>
    <row r="14" spans="1:20" x14ac:dyDescent="0.35">
      <c r="A14" s="1" t="s">
        <v>94</v>
      </c>
      <c r="B14" s="4" t="s">
        <v>95</v>
      </c>
      <c r="C14" s="4" t="str">
        <f t="shared" si="0"/>
        <v>Feb</v>
      </c>
      <c r="D14" s="4"/>
      <c r="E14" s="4" t="s">
        <v>96</v>
      </c>
      <c r="F14" s="1" t="s">
        <v>97</v>
      </c>
      <c r="G14" s="1" t="s">
        <v>98</v>
      </c>
      <c r="H14" s="1" t="s">
        <v>64</v>
      </c>
      <c r="I14" s="2">
        <v>96</v>
      </c>
      <c r="J14" s="2">
        <v>1</v>
      </c>
      <c r="K14" s="12">
        <v>96</v>
      </c>
      <c r="L14" s="1" t="s">
        <v>20</v>
      </c>
      <c r="M14" s="1" t="s">
        <v>21</v>
      </c>
      <c r="N14" s="1" t="s">
        <v>52</v>
      </c>
      <c r="O14" s="16" t="str">
        <f>_xlfn.XLOOKUP(G14,ProductMaster!$A$2:$A$23,ProductMaster!$C$2:$C$23,"Not Found")</f>
        <v>Fashion</v>
      </c>
      <c r="P14" t="str">
        <f t="shared" si="1"/>
        <v>Cancelled</v>
      </c>
      <c r="Q14" s="16" t="str">
        <f t="shared" si="2"/>
        <v/>
      </c>
      <c r="R14" s="16" t="str">
        <f t="shared" si="3"/>
        <v>Not Delivered</v>
      </c>
      <c r="S14" s="16">
        <f t="shared" si="4"/>
        <v>0</v>
      </c>
      <c r="T14" t="str">
        <f>_xlfn.XLOOKUP(F14,CustomerMaster!$A$2:$A$50,CustomerMaster!$B$2:$B$50,"Not Found")</f>
        <v>Charlotte Reed</v>
      </c>
    </row>
    <row r="15" spans="1:20" x14ac:dyDescent="0.35">
      <c r="A15" s="1" t="s">
        <v>100</v>
      </c>
      <c r="B15" s="4" t="s">
        <v>25</v>
      </c>
      <c r="C15" s="4" t="str">
        <f t="shared" si="0"/>
        <v>Feb</v>
      </c>
      <c r="D15" s="4"/>
      <c r="E15" s="4" t="s">
        <v>95</v>
      </c>
      <c r="F15" s="1" t="s">
        <v>101</v>
      </c>
      <c r="G15" s="1" t="s">
        <v>102</v>
      </c>
      <c r="H15" s="1" t="s">
        <v>72</v>
      </c>
      <c r="I15" s="2">
        <v>74</v>
      </c>
      <c r="J15" s="2">
        <v>5</v>
      </c>
      <c r="K15" s="12">
        <v>74</v>
      </c>
      <c r="L15" s="1" t="s">
        <v>20</v>
      </c>
      <c r="M15" s="1" t="s">
        <v>21</v>
      </c>
      <c r="N15" s="1" t="s">
        <v>52</v>
      </c>
      <c r="O15" s="16" t="str">
        <f>_xlfn.XLOOKUP(G15,ProductMaster!$A$2:$A$23,ProductMaster!$C$2:$C$23,"Not Found")</f>
        <v>Electronics</v>
      </c>
      <c r="P15" t="str">
        <f t="shared" si="1"/>
        <v>Cancelled</v>
      </c>
      <c r="Q15" s="16" t="str">
        <f t="shared" si="2"/>
        <v/>
      </c>
      <c r="R15" s="16" t="str">
        <f t="shared" si="3"/>
        <v>Not Delivered</v>
      </c>
      <c r="S15" s="16">
        <f t="shared" si="4"/>
        <v>0</v>
      </c>
      <c r="T15" t="str">
        <f>_xlfn.XLOOKUP(F15,CustomerMaster!$A$2:$A$50,CustomerMaster!$B$2:$B$50,"Not Found")</f>
        <v>Hazel Rivera</v>
      </c>
    </row>
    <row r="16" spans="1:20" x14ac:dyDescent="0.35">
      <c r="A16" s="1" t="s">
        <v>104</v>
      </c>
      <c r="B16" s="4" t="s">
        <v>105</v>
      </c>
      <c r="C16" s="4" t="str">
        <f t="shared" si="0"/>
        <v>Aug</v>
      </c>
      <c r="D16" s="4"/>
      <c r="E16" s="4" t="s">
        <v>106</v>
      </c>
      <c r="F16" s="1" t="s">
        <v>101</v>
      </c>
      <c r="G16" s="1" t="s">
        <v>107</v>
      </c>
      <c r="H16" s="1" t="s">
        <v>35</v>
      </c>
      <c r="I16" s="2">
        <v>27</v>
      </c>
      <c r="J16" s="2">
        <v>1</v>
      </c>
      <c r="K16" s="12">
        <v>27</v>
      </c>
      <c r="L16" s="1" t="s">
        <v>30</v>
      </c>
      <c r="M16" s="1" t="s">
        <v>21</v>
      </c>
      <c r="N16" s="1" t="s">
        <v>52</v>
      </c>
      <c r="O16" s="16" t="str">
        <f>_xlfn.XLOOKUP(G16,ProductMaster!$A$2:$A$23,ProductMaster!$C$2:$C$23,"Not Found")</f>
        <v>Fashion</v>
      </c>
      <c r="P16" t="str">
        <f t="shared" si="1"/>
        <v>Cancelled</v>
      </c>
      <c r="Q16" s="16" t="str">
        <f t="shared" si="2"/>
        <v/>
      </c>
      <c r="R16" s="16" t="str">
        <f t="shared" si="3"/>
        <v>Not Delivered</v>
      </c>
      <c r="S16" s="16">
        <f t="shared" si="4"/>
        <v>0</v>
      </c>
      <c r="T16" t="str">
        <f>_xlfn.XLOOKUP(F16,CustomerMaster!$A$2:$A$50,CustomerMaster!$B$2:$B$50,"Not Found")</f>
        <v>Hazel Rivera</v>
      </c>
    </row>
    <row r="17" spans="1:20" x14ac:dyDescent="0.35">
      <c r="A17" s="1" t="s">
        <v>109</v>
      </c>
      <c r="B17" s="4" t="s">
        <v>110</v>
      </c>
      <c r="C17" s="4" t="str">
        <f t="shared" si="0"/>
        <v>Feb</v>
      </c>
      <c r="D17" s="4"/>
      <c r="E17" s="4"/>
      <c r="F17" s="1" t="s">
        <v>111</v>
      </c>
      <c r="G17" s="1" t="s">
        <v>107</v>
      </c>
      <c r="H17" s="1" t="s">
        <v>35</v>
      </c>
      <c r="I17" s="2">
        <v>27</v>
      </c>
      <c r="J17" s="2">
        <v>3</v>
      </c>
      <c r="K17" s="12">
        <v>81</v>
      </c>
      <c r="L17" s="1" t="s">
        <v>66</v>
      </c>
      <c r="M17" s="1" t="s">
        <v>37</v>
      </c>
      <c r="N17" s="1" t="s">
        <v>52</v>
      </c>
      <c r="O17" s="16" t="str">
        <f>_xlfn.XLOOKUP(G17,ProductMaster!$A$2:$A$23,ProductMaster!$C$2:$C$23,"Not Found")</f>
        <v>Fashion</v>
      </c>
      <c r="P17" t="str">
        <f t="shared" si="1"/>
        <v>Active</v>
      </c>
      <c r="Q17" s="16" t="str">
        <f t="shared" si="2"/>
        <v/>
      </c>
      <c r="R17" s="16" t="str">
        <f t="shared" si="3"/>
        <v>Not Delivered</v>
      </c>
      <c r="S17" s="16">
        <f t="shared" si="4"/>
        <v>0</v>
      </c>
      <c r="T17" t="str">
        <f>_xlfn.XLOOKUP(F17,CustomerMaster!$A$2:$A$50,CustomerMaster!$B$2:$B$50,"Not Found")</f>
        <v>Scarlett Murphy</v>
      </c>
    </row>
    <row r="18" spans="1:20" x14ac:dyDescent="0.35">
      <c r="A18" s="1" t="s">
        <v>113</v>
      </c>
      <c r="B18" s="4" t="s">
        <v>114</v>
      </c>
      <c r="C18" s="4" t="str">
        <f t="shared" si="0"/>
        <v>Jun</v>
      </c>
      <c r="D18" s="4" t="s">
        <v>115</v>
      </c>
      <c r="E18" s="4"/>
      <c r="F18" s="1" t="s">
        <v>91</v>
      </c>
      <c r="G18" s="1" t="s">
        <v>116</v>
      </c>
      <c r="H18" s="1" t="s">
        <v>28</v>
      </c>
      <c r="I18" s="2">
        <v>21</v>
      </c>
      <c r="J18" s="2">
        <v>3</v>
      </c>
      <c r="K18" s="12">
        <v>63</v>
      </c>
      <c r="L18" s="1" t="s">
        <v>30</v>
      </c>
      <c r="M18" s="1" t="s">
        <v>31</v>
      </c>
      <c r="N18" s="1" t="s">
        <v>22</v>
      </c>
      <c r="O18" s="16" t="str">
        <f>_xlfn.XLOOKUP(G18,ProductMaster!$A$2:$A$23,ProductMaster!$C$2:$C$23,"Not Found")</f>
        <v>Books</v>
      </c>
      <c r="P18" t="str">
        <f t="shared" si="1"/>
        <v>Delivered</v>
      </c>
      <c r="Q18" s="16">
        <f t="shared" si="2"/>
        <v>3</v>
      </c>
      <c r="R18" s="16" t="str">
        <f t="shared" si="3"/>
        <v>Slow</v>
      </c>
      <c r="S18" s="16">
        <f t="shared" si="4"/>
        <v>63</v>
      </c>
      <c r="T18" t="str">
        <f>_xlfn.XLOOKUP(F18,CustomerMaster!$A$2:$A$50,CustomerMaster!$B$2:$B$50,"Not Found")</f>
        <v>Emily Johnson</v>
      </c>
    </row>
    <row r="19" spans="1:20" x14ac:dyDescent="0.35">
      <c r="A19" s="1" t="s">
        <v>118</v>
      </c>
      <c r="B19" s="4" t="s">
        <v>119</v>
      </c>
      <c r="C19" s="4" t="str">
        <f t="shared" si="0"/>
        <v>Nov</v>
      </c>
      <c r="D19" s="4"/>
      <c r="E19" s="4"/>
      <c r="F19" s="1" t="s">
        <v>120</v>
      </c>
      <c r="G19" s="1" t="s">
        <v>121</v>
      </c>
      <c r="H19" s="1" t="s">
        <v>72</v>
      </c>
      <c r="I19" s="2">
        <v>70</v>
      </c>
      <c r="J19" s="2">
        <v>5</v>
      </c>
      <c r="K19" s="12">
        <v>350</v>
      </c>
      <c r="L19" s="1" t="s">
        <v>44</v>
      </c>
      <c r="M19" s="1" t="s">
        <v>37</v>
      </c>
      <c r="N19" s="1" t="s">
        <v>52</v>
      </c>
      <c r="O19" s="16" t="str">
        <f>_xlfn.XLOOKUP(G19,ProductMaster!$A$2:$A$23,ProductMaster!$C$2:$C$23,"Not Found")</f>
        <v>Books</v>
      </c>
      <c r="P19" t="str">
        <f t="shared" si="1"/>
        <v>Active</v>
      </c>
      <c r="Q19" s="16" t="str">
        <f t="shared" si="2"/>
        <v/>
      </c>
      <c r="R19" s="16" t="str">
        <f t="shared" si="3"/>
        <v>Not Delivered</v>
      </c>
      <c r="S19" s="16">
        <f t="shared" si="4"/>
        <v>0</v>
      </c>
      <c r="T19" t="str">
        <f>_xlfn.XLOOKUP(F19,CustomerMaster!$A$2:$A$50,CustomerMaster!$B$2:$B$50,"Not Found")</f>
        <v>Mason Hall</v>
      </c>
    </row>
    <row r="20" spans="1:20" x14ac:dyDescent="0.35">
      <c r="A20" s="1" t="s">
        <v>123</v>
      </c>
      <c r="B20" s="4" t="s">
        <v>124</v>
      </c>
      <c r="C20" s="4" t="str">
        <f t="shared" si="0"/>
        <v>Aug</v>
      </c>
      <c r="D20" s="4"/>
      <c r="E20" s="4"/>
      <c r="F20" s="1" t="s">
        <v>125</v>
      </c>
      <c r="G20" s="1" t="s">
        <v>98</v>
      </c>
      <c r="H20" s="1" t="s">
        <v>35</v>
      </c>
      <c r="I20" s="2">
        <v>94</v>
      </c>
      <c r="J20" s="2">
        <v>4</v>
      </c>
      <c r="K20" s="12">
        <v>376</v>
      </c>
      <c r="L20" s="1" t="s">
        <v>30</v>
      </c>
      <c r="M20" s="1" t="s">
        <v>37</v>
      </c>
      <c r="N20" s="1" t="s">
        <v>38</v>
      </c>
      <c r="O20" s="16" t="str">
        <f>_xlfn.XLOOKUP(G20,ProductMaster!$A$2:$A$23,ProductMaster!$C$2:$C$23,"Not Found")</f>
        <v>Fashion</v>
      </c>
      <c r="P20" t="str">
        <f t="shared" si="1"/>
        <v>Active</v>
      </c>
      <c r="Q20" s="16" t="str">
        <f t="shared" si="2"/>
        <v/>
      </c>
      <c r="R20" s="16" t="str">
        <f t="shared" si="3"/>
        <v>Not Delivered</v>
      </c>
      <c r="S20" s="16">
        <f t="shared" si="4"/>
        <v>0</v>
      </c>
      <c r="T20" t="str">
        <f>_xlfn.XLOOKUP(F20,CustomerMaster!$A$2:$A$50,CustomerMaster!$B$2:$B$50,"Not Found")</f>
        <v>Jacob Price</v>
      </c>
    </row>
    <row r="21" spans="1:20" x14ac:dyDescent="0.35">
      <c r="A21" s="1" t="s">
        <v>127</v>
      </c>
      <c r="B21" s="4" t="s">
        <v>128</v>
      </c>
      <c r="C21" s="4" t="str">
        <f t="shared" si="0"/>
        <v>Apr</v>
      </c>
      <c r="D21" s="4"/>
      <c r="E21" s="4"/>
      <c r="F21" s="1" t="s">
        <v>129</v>
      </c>
      <c r="G21" s="1" t="s">
        <v>130</v>
      </c>
      <c r="H21" s="1" t="s">
        <v>18</v>
      </c>
      <c r="I21" s="2">
        <v>813</v>
      </c>
      <c r="J21" s="2">
        <v>2</v>
      </c>
      <c r="K21" s="12">
        <v>1626</v>
      </c>
      <c r="L21" s="1" t="s">
        <v>30</v>
      </c>
      <c r="M21" s="1" t="s">
        <v>37</v>
      </c>
      <c r="N21" s="1" t="s">
        <v>93</v>
      </c>
      <c r="O21" s="16" t="str">
        <f>_xlfn.XLOOKUP(G21,ProductMaster!$A$2:$A$23,ProductMaster!$C$2:$C$23,"Not Found")</f>
        <v>Electronics</v>
      </c>
      <c r="P21" t="str">
        <f t="shared" si="1"/>
        <v>Active</v>
      </c>
      <c r="Q21" s="16" t="str">
        <f t="shared" si="2"/>
        <v/>
      </c>
      <c r="R21" s="16" t="str">
        <f t="shared" si="3"/>
        <v>Not Delivered</v>
      </c>
      <c r="S21" s="16">
        <f t="shared" si="4"/>
        <v>0</v>
      </c>
      <c r="T21" t="str">
        <f>_xlfn.XLOOKUP(F21,CustomerMaster!$A$2:$A$50,CustomerMaster!$B$2:$B$50,"Not Found")</f>
        <v>Emma King</v>
      </c>
    </row>
    <row r="22" spans="1:20" x14ac:dyDescent="0.35">
      <c r="A22" s="1" t="s">
        <v>132</v>
      </c>
      <c r="B22" s="4" t="s">
        <v>133</v>
      </c>
      <c r="C22" s="4" t="str">
        <f t="shared" si="0"/>
        <v>Oct</v>
      </c>
      <c r="D22" s="4"/>
      <c r="E22" s="4"/>
      <c r="F22" s="1" t="s">
        <v>76</v>
      </c>
      <c r="G22" s="1" t="s">
        <v>116</v>
      </c>
      <c r="H22" s="1" t="s">
        <v>64</v>
      </c>
      <c r="I22" s="2">
        <v>21</v>
      </c>
      <c r="J22" s="2">
        <v>4</v>
      </c>
      <c r="K22" s="12">
        <v>84</v>
      </c>
      <c r="L22" s="1" t="s">
        <v>44</v>
      </c>
      <c r="M22" s="1" t="s">
        <v>37</v>
      </c>
      <c r="N22" s="1" t="s">
        <v>52</v>
      </c>
      <c r="O22" s="16" t="str">
        <f>_xlfn.XLOOKUP(G22,ProductMaster!$A$2:$A$23,ProductMaster!$C$2:$C$23,"Not Found")</f>
        <v>Books</v>
      </c>
      <c r="P22" t="str">
        <f t="shared" si="1"/>
        <v>Active</v>
      </c>
      <c r="Q22" s="16" t="str">
        <f t="shared" si="2"/>
        <v/>
      </c>
      <c r="R22" s="16" t="str">
        <f t="shared" si="3"/>
        <v>Not Delivered</v>
      </c>
      <c r="S22" s="16">
        <f t="shared" si="4"/>
        <v>0</v>
      </c>
      <c r="T22" t="str">
        <f>_xlfn.XLOOKUP(F22,CustomerMaster!$A$2:$A$50,CustomerMaster!$B$2:$B$50,"Not Found")</f>
        <v>Olivia Martinez</v>
      </c>
    </row>
    <row r="23" spans="1:20" x14ac:dyDescent="0.35">
      <c r="A23" s="1" t="s">
        <v>135</v>
      </c>
      <c r="B23" s="4" t="s">
        <v>136</v>
      </c>
      <c r="C23" s="4" t="str">
        <f t="shared" si="0"/>
        <v>Nov</v>
      </c>
      <c r="D23" s="4"/>
      <c r="E23" s="4"/>
      <c r="F23" s="1" t="s">
        <v>97</v>
      </c>
      <c r="G23" s="1" t="s">
        <v>17</v>
      </c>
      <c r="H23" s="1" t="s">
        <v>72</v>
      </c>
      <c r="I23" s="2">
        <v>46</v>
      </c>
      <c r="J23" s="2">
        <v>5</v>
      </c>
      <c r="K23" s="12">
        <v>230</v>
      </c>
      <c r="L23" s="1" t="s">
        <v>44</v>
      </c>
      <c r="M23" s="1" t="s">
        <v>37</v>
      </c>
      <c r="N23" s="1" t="s">
        <v>38</v>
      </c>
      <c r="O23" s="16" t="str">
        <f>_xlfn.XLOOKUP(G23,ProductMaster!$A$2:$A$23,ProductMaster!$C$2:$C$23,"Not Found")</f>
        <v>Home</v>
      </c>
      <c r="P23" t="str">
        <f t="shared" si="1"/>
        <v>Active</v>
      </c>
      <c r="Q23" s="16" t="str">
        <f t="shared" si="2"/>
        <v/>
      </c>
      <c r="R23" s="16" t="str">
        <f t="shared" si="3"/>
        <v>Not Delivered</v>
      </c>
      <c r="S23" s="16">
        <f t="shared" si="4"/>
        <v>0</v>
      </c>
      <c r="T23" t="str">
        <f>_xlfn.XLOOKUP(F23,CustomerMaster!$A$2:$A$50,CustomerMaster!$B$2:$B$50,"Not Found")</f>
        <v>Charlotte Reed</v>
      </c>
    </row>
    <row r="24" spans="1:20" x14ac:dyDescent="0.35">
      <c r="A24" s="1" t="s">
        <v>138</v>
      </c>
      <c r="B24" s="4" t="s">
        <v>110</v>
      </c>
      <c r="C24" s="4" t="str">
        <f t="shared" si="0"/>
        <v>Feb</v>
      </c>
      <c r="D24" s="4"/>
      <c r="E24" s="4" t="s">
        <v>139</v>
      </c>
      <c r="F24" s="1" t="s">
        <v>140</v>
      </c>
      <c r="G24" s="1" t="s">
        <v>50</v>
      </c>
      <c r="H24" s="1" t="s">
        <v>72</v>
      </c>
      <c r="I24" s="2">
        <v>58</v>
      </c>
      <c r="J24" s="2">
        <v>3</v>
      </c>
      <c r="K24" s="12">
        <v>58</v>
      </c>
      <c r="L24" s="1" t="s">
        <v>58</v>
      </c>
      <c r="M24" s="1" t="s">
        <v>21</v>
      </c>
      <c r="N24" s="1" t="s">
        <v>52</v>
      </c>
      <c r="O24" s="16" t="str">
        <f>_xlfn.XLOOKUP(G24,ProductMaster!$A$2:$A$23,ProductMaster!$C$2:$C$23,"Not Found")</f>
        <v>Fashion</v>
      </c>
      <c r="P24" t="str">
        <f t="shared" si="1"/>
        <v>Cancelled</v>
      </c>
      <c r="Q24" s="16" t="str">
        <f t="shared" si="2"/>
        <v/>
      </c>
      <c r="R24" s="16" t="str">
        <f t="shared" si="3"/>
        <v>Not Delivered</v>
      </c>
      <c r="S24" s="16">
        <f t="shared" si="4"/>
        <v>0</v>
      </c>
      <c r="T24" t="str">
        <f>_xlfn.XLOOKUP(F24,CustomerMaster!$A$2:$A$50,CustomerMaster!$B$2:$B$50,"Not Found")</f>
        <v>Elijah Lewis</v>
      </c>
    </row>
    <row r="25" spans="1:20" x14ac:dyDescent="0.35">
      <c r="A25" s="1" t="s">
        <v>142</v>
      </c>
      <c r="B25" s="4" t="s">
        <v>55</v>
      </c>
      <c r="C25" s="4" t="str">
        <f t="shared" si="0"/>
        <v>Nov</v>
      </c>
      <c r="D25" s="4" t="s">
        <v>143</v>
      </c>
      <c r="E25" s="4"/>
      <c r="F25" s="1" t="s">
        <v>144</v>
      </c>
      <c r="G25" s="1" t="s">
        <v>98</v>
      </c>
      <c r="H25" s="1" t="s">
        <v>72</v>
      </c>
      <c r="I25" s="2">
        <v>96</v>
      </c>
      <c r="J25" s="2">
        <v>5</v>
      </c>
      <c r="K25" s="12">
        <v>480</v>
      </c>
      <c r="L25" s="1" t="s">
        <v>58</v>
      </c>
      <c r="M25" s="1" t="s">
        <v>31</v>
      </c>
      <c r="N25" s="1" t="s">
        <v>52</v>
      </c>
      <c r="O25" s="16" t="str">
        <f>_xlfn.XLOOKUP(G25,ProductMaster!$A$2:$A$23,ProductMaster!$C$2:$C$23,"Not Found")</f>
        <v>Fashion</v>
      </c>
      <c r="P25" t="str">
        <f t="shared" si="1"/>
        <v>Delivered</v>
      </c>
      <c r="Q25" s="16">
        <f t="shared" si="2"/>
        <v>3</v>
      </c>
      <c r="R25" s="16" t="str">
        <f t="shared" si="3"/>
        <v>Slow</v>
      </c>
      <c r="S25" s="16">
        <f t="shared" si="4"/>
        <v>480</v>
      </c>
      <c r="T25" t="str">
        <f>_xlfn.XLOOKUP(F25,CustomerMaster!$A$2:$A$50,CustomerMaster!$B$2:$B$50,"Not Found")</f>
        <v>Lily Bennett</v>
      </c>
    </row>
    <row r="26" spans="1:20" x14ac:dyDescent="0.35">
      <c r="A26" s="1" t="s">
        <v>146</v>
      </c>
      <c r="B26" s="4" t="s">
        <v>147</v>
      </c>
      <c r="C26" s="4" t="str">
        <f t="shared" si="0"/>
        <v>May</v>
      </c>
      <c r="D26" s="4" t="s">
        <v>148</v>
      </c>
      <c r="E26" s="4"/>
      <c r="F26" s="1" t="s">
        <v>149</v>
      </c>
      <c r="G26" s="1" t="s">
        <v>150</v>
      </c>
      <c r="H26" s="1" t="s">
        <v>35</v>
      </c>
      <c r="I26" s="2">
        <v>43</v>
      </c>
      <c r="J26" s="2">
        <v>1</v>
      </c>
      <c r="K26" s="12">
        <v>43</v>
      </c>
      <c r="L26" s="1" t="s">
        <v>66</v>
      </c>
      <c r="M26" s="1" t="s">
        <v>31</v>
      </c>
      <c r="N26" s="1" t="s">
        <v>52</v>
      </c>
      <c r="O26" s="16" t="str">
        <f>_xlfn.XLOOKUP(G26,ProductMaster!$A$2:$A$23,ProductMaster!$C$2:$C$23,"Not Found")</f>
        <v>Toys</v>
      </c>
      <c r="P26" t="str">
        <f t="shared" si="1"/>
        <v>Delivered</v>
      </c>
      <c r="Q26" s="16">
        <f t="shared" si="2"/>
        <v>2</v>
      </c>
      <c r="R26" s="16" t="str">
        <f t="shared" si="3"/>
        <v>Fast</v>
      </c>
      <c r="S26" s="16">
        <f t="shared" si="4"/>
        <v>43</v>
      </c>
      <c r="T26" t="str">
        <f>_xlfn.XLOOKUP(F26,CustomerMaster!$A$2:$A$50,CustomerMaster!$B$2:$B$50,"Not Found")</f>
        <v>Benjamin Clark</v>
      </c>
    </row>
    <row r="27" spans="1:20" x14ac:dyDescent="0.35">
      <c r="A27" s="1" t="s">
        <v>152</v>
      </c>
      <c r="B27" s="4" t="s">
        <v>153</v>
      </c>
      <c r="C27" s="4" t="str">
        <f t="shared" si="0"/>
        <v>Oct</v>
      </c>
      <c r="D27" s="4" t="s">
        <v>154</v>
      </c>
      <c r="E27" s="4"/>
      <c r="F27" s="1" t="s">
        <v>49</v>
      </c>
      <c r="G27" s="1" t="s">
        <v>155</v>
      </c>
      <c r="H27" s="1" t="s">
        <v>35</v>
      </c>
      <c r="I27" s="2">
        <v>64</v>
      </c>
      <c r="J27" s="2">
        <v>4</v>
      </c>
      <c r="K27" s="12">
        <v>256</v>
      </c>
      <c r="L27" s="1" t="s">
        <v>66</v>
      </c>
      <c r="M27" s="1" t="s">
        <v>31</v>
      </c>
      <c r="N27" s="1" t="s">
        <v>38</v>
      </c>
      <c r="O27" s="16" t="str">
        <f>_xlfn.XLOOKUP(G27,ProductMaster!$A$2:$A$23,ProductMaster!$C$2:$C$23,"Not Found")</f>
        <v>Fashion</v>
      </c>
      <c r="P27" t="str">
        <f t="shared" si="1"/>
        <v>Delivered</v>
      </c>
      <c r="Q27" s="16">
        <f t="shared" si="2"/>
        <v>6</v>
      </c>
      <c r="R27" s="16" t="str">
        <f t="shared" si="3"/>
        <v>Slow</v>
      </c>
      <c r="S27" s="16">
        <f t="shared" si="4"/>
        <v>256</v>
      </c>
      <c r="T27" t="str">
        <f>_xlfn.XLOOKUP(F27,CustomerMaster!$A$2:$A$50,CustomerMaster!$B$2:$B$50,"Not Found")</f>
        <v>Hazel Brooks</v>
      </c>
    </row>
    <row r="28" spans="1:20" x14ac:dyDescent="0.35">
      <c r="A28" s="1" t="s">
        <v>157</v>
      </c>
      <c r="B28" s="4" t="s">
        <v>158</v>
      </c>
      <c r="C28" s="4" t="str">
        <f t="shared" si="0"/>
        <v>Jan</v>
      </c>
      <c r="D28" s="4"/>
      <c r="E28" s="4"/>
      <c r="F28" s="1" t="s">
        <v>159</v>
      </c>
      <c r="G28" s="1" t="s">
        <v>121</v>
      </c>
      <c r="H28" s="1" t="s">
        <v>35</v>
      </c>
      <c r="I28" s="2">
        <v>70</v>
      </c>
      <c r="J28" s="2">
        <v>2</v>
      </c>
      <c r="K28" s="12">
        <v>140</v>
      </c>
      <c r="L28" s="1" t="s">
        <v>58</v>
      </c>
      <c r="M28" s="1" t="s">
        <v>37</v>
      </c>
      <c r="N28" s="1" t="s">
        <v>52</v>
      </c>
      <c r="O28" s="16" t="str">
        <f>_xlfn.XLOOKUP(G28,ProductMaster!$A$2:$A$23,ProductMaster!$C$2:$C$23,"Not Found")</f>
        <v>Books</v>
      </c>
      <c r="P28" t="str">
        <f t="shared" si="1"/>
        <v>Active</v>
      </c>
      <c r="Q28" s="16" t="str">
        <f t="shared" si="2"/>
        <v/>
      </c>
      <c r="R28" s="16" t="str">
        <f t="shared" si="3"/>
        <v>Not Delivered</v>
      </c>
      <c r="S28" s="16">
        <f t="shared" si="4"/>
        <v>0</v>
      </c>
      <c r="T28" t="str">
        <f>_xlfn.XLOOKUP(F28,CustomerMaster!$A$2:$A$50,CustomerMaster!$B$2:$B$50,"Not Found")</f>
        <v>Grace Scott</v>
      </c>
    </row>
    <row r="29" spans="1:20" x14ac:dyDescent="0.35">
      <c r="A29" s="1" t="s">
        <v>161</v>
      </c>
      <c r="B29" s="4" t="s">
        <v>162</v>
      </c>
      <c r="C29" s="4" t="str">
        <f t="shared" si="0"/>
        <v>Oct</v>
      </c>
      <c r="D29" s="4"/>
      <c r="E29" s="4"/>
      <c r="F29" s="1" t="s">
        <v>159</v>
      </c>
      <c r="G29" s="1" t="s">
        <v>27</v>
      </c>
      <c r="H29" s="1" t="s">
        <v>64</v>
      </c>
      <c r="I29" s="2">
        <v>97</v>
      </c>
      <c r="J29" s="2">
        <v>3</v>
      </c>
      <c r="K29" s="12">
        <v>291</v>
      </c>
      <c r="L29" s="1" t="s">
        <v>30</v>
      </c>
      <c r="M29" s="1" t="s">
        <v>37</v>
      </c>
      <c r="N29" s="1" t="s">
        <v>52</v>
      </c>
      <c r="O29" s="16" t="str">
        <f>_xlfn.XLOOKUP(G29,ProductMaster!$A$2:$A$23,ProductMaster!$C$2:$C$23,"Not Found")</f>
        <v>Toys</v>
      </c>
      <c r="P29" t="str">
        <f t="shared" si="1"/>
        <v>Active</v>
      </c>
      <c r="Q29" s="16" t="str">
        <f t="shared" si="2"/>
        <v/>
      </c>
      <c r="R29" s="16" t="str">
        <f t="shared" si="3"/>
        <v>Not Delivered</v>
      </c>
      <c r="S29" s="16">
        <f t="shared" si="4"/>
        <v>0</v>
      </c>
      <c r="T29" t="str">
        <f>_xlfn.XLOOKUP(F29,CustomerMaster!$A$2:$A$50,CustomerMaster!$B$2:$B$50,"Not Found")</f>
        <v>Grace Scott</v>
      </c>
    </row>
    <row r="30" spans="1:20" x14ac:dyDescent="0.35">
      <c r="A30" s="1" t="s">
        <v>164</v>
      </c>
      <c r="B30" s="4" t="s">
        <v>165</v>
      </c>
      <c r="C30" s="4" t="str">
        <f t="shared" si="0"/>
        <v>Oct</v>
      </c>
      <c r="D30" s="4"/>
      <c r="E30" s="4" t="s">
        <v>166</v>
      </c>
      <c r="F30" s="1" t="s">
        <v>167</v>
      </c>
      <c r="G30" s="1" t="s">
        <v>71</v>
      </c>
      <c r="H30" s="1" t="s">
        <v>28</v>
      </c>
      <c r="I30" s="2">
        <v>37</v>
      </c>
      <c r="J30" s="2">
        <v>3</v>
      </c>
      <c r="K30" s="12">
        <v>37</v>
      </c>
      <c r="L30" s="1" t="s">
        <v>20</v>
      </c>
      <c r="M30" s="1" t="s">
        <v>21</v>
      </c>
      <c r="N30" s="1" t="s">
        <v>22</v>
      </c>
      <c r="O30" s="16" t="str">
        <f>_xlfn.XLOOKUP(G30,ProductMaster!$A$2:$A$23,ProductMaster!$C$2:$C$23,"Not Found")</f>
        <v>Home</v>
      </c>
      <c r="P30" t="str">
        <f t="shared" si="1"/>
        <v>Cancelled</v>
      </c>
      <c r="Q30" s="16" t="str">
        <f t="shared" si="2"/>
        <v/>
      </c>
      <c r="R30" s="16" t="str">
        <f t="shared" si="3"/>
        <v>Not Delivered</v>
      </c>
      <c r="S30" s="16">
        <f t="shared" si="4"/>
        <v>0</v>
      </c>
      <c r="T30" t="str">
        <f>_xlfn.XLOOKUP(F30,CustomerMaster!$A$2:$A$50,CustomerMaster!$B$2:$B$50,"Not Found")</f>
        <v>Liam Walker</v>
      </c>
    </row>
    <row r="31" spans="1:20" x14ac:dyDescent="0.35">
      <c r="A31" s="1" t="s">
        <v>169</v>
      </c>
      <c r="B31" s="4" t="s">
        <v>139</v>
      </c>
      <c r="C31" s="4" t="str">
        <f t="shared" si="0"/>
        <v>Feb</v>
      </c>
      <c r="D31" s="4"/>
      <c r="E31" s="4"/>
      <c r="F31" s="1" t="s">
        <v>170</v>
      </c>
      <c r="G31" s="1" t="s">
        <v>121</v>
      </c>
      <c r="H31" s="1" t="s">
        <v>18</v>
      </c>
      <c r="I31" s="2">
        <v>69</v>
      </c>
      <c r="J31" s="2">
        <v>5</v>
      </c>
      <c r="K31" s="12">
        <v>345</v>
      </c>
      <c r="L31" s="1" t="s">
        <v>58</v>
      </c>
      <c r="M31" s="1" t="s">
        <v>37</v>
      </c>
      <c r="N31" s="1" t="s">
        <v>52</v>
      </c>
      <c r="O31" s="16" t="str">
        <f>_xlfn.XLOOKUP(G31,ProductMaster!$A$2:$A$23,ProductMaster!$C$2:$C$23,"Not Found")</f>
        <v>Books</v>
      </c>
      <c r="P31" t="str">
        <f t="shared" si="1"/>
        <v>Active</v>
      </c>
      <c r="Q31" s="16" t="str">
        <f t="shared" si="2"/>
        <v/>
      </c>
      <c r="R31" s="16" t="str">
        <f t="shared" si="3"/>
        <v>Not Delivered</v>
      </c>
      <c r="S31" s="16">
        <f t="shared" si="4"/>
        <v>0</v>
      </c>
      <c r="T31" t="str">
        <f>_xlfn.XLOOKUP(F31,CustomerMaster!$A$2:$A$50,CustomerMaster!$B$2:$B$50,"Not Found")</f>
        <v>Harper Young</v>
      </c>
    </row>
    <row r="32" spans="1:20" x14ac:dyDescent="0.35">
      <c r="A32" s="1" t="s">
        <v>172</v>
      </c>
      <c r="B32" s="4" t="s">
        <v>173</v>
      </c>
      <c r="C32" s="4" t="str">
        <f t="shared" si="0"/>
        <v>Mar</v>
      </c>
      <c r="D32" s="4"/>
      <c r="E32" s="4"/>
      <c r="F32" s="1" t="s">
        <v>174</v>
      </c>
      <c r="G32" s="1" t="s">
        <v>150</v>
      </c>
      <c r="H32" s="1" t="s">
        <v>18</v>
      </c>
      <c r="I32" s="2">
        <v>42</v>
      </c>
      <c r="J32" s="2">
        <v>5</v>
      </c>
      <c r="K32" s="12">
        <v>210</v>
      </c>
      <c r="L32" s="1" t="s">
        <v>58</v>
      </c>
      <c r="M32" s="1" t="s">
        <v>37</v>
      </c>
      <c r="N32" s="1" t="s">
        <v>45</v>
      </c>
      <c r="O32" s="16" t="str">
        <f>_xlfn.XLOOKUP(G32,ProductMaster!$A$2:$A$23,ProductMaster!$C$2:$C$23,"Not Found")</f>
        <v>Toys</v>
      </c>
      <c r="P32" t="str">
        <f t="shared" si="1"/>
        <v>Active</v>
      </c>
      <c r="Q32" s="16" t="str">
        <f t="shared" si="2"/>
        <v/>
      </c>
      <c r="R32" s="16" t="str">
        <f t="shared" si="3"/>
        <v>Not Delivered</v>
      </c>
      <c r="S32" s="16">
        <f t="shared" si="4"/>
        <v>0</v>
      </c>
      <c r="T32" t="str">
        <f>_xlfn.XLOOKUP(F32,CustomerMaster!$A$2:$A$50,CustomerMaster!$B$2:$B$50,"Not Found")</f>
        <v>Harper Young</v>
      </c>
    </row>
    <row r="33" spans="1:20" x14ac:dyDescent="0.35">
      <c r="A33" s="1" t="s">
        <v>176</v>
      </c>
      <c r="B33" s="4" t="s">
        <v>177</v>
      </c>
      <c r="C33" s="4" t="str">
        <f t="shared" si="0"/>
        <v>Jun</v>
      </c>
      <c r="D33" s="4"/>
      <c r="E33" s="4" t="s">
        <v>178</v>
      </c>
      <c r="F33" s="1" t="s">
        <v>179</v>
      </c>
      <c r="G33" s="1" t="s">
        <v>180</v>
      </c>
      <c r="H33" s="1" t="s">
        <v>28</v>
      </c>
      <c r="I33" s="2">
        <v>11</v>
      </c>
      <c r="J33" s="2">
        <v>5</v>
      </c>
      <c r="K33" s="12">
        <v>11</v>
      </c>
      <c r="L33" s="1" t="s">
        <v>66</v>
      </c>
      <c r="M33" s="1" t="s">
        <v>21</v>
      </c>
      <c r="N33" s="1" t="s">
        <v>93</v>
      </c>
      <c r="O33" s="16" t="str">
        <f>_xlfn.XLOOKUP(G33,ProductMaster!$A$2:$A$23,ProductMaster!$C$2:$C$23,"Not Found")</f>
        <v>Books</v>
      </c>
      <c r="P33" t="str">
        <f t="shared" si="1"/>
        <v>Cancelled</v>
      </c>
      <c r="Q33" s="16" t="str">
        <f t="shared" si="2"/>
        <v/>
      </c>
      <c r="R33" s="16" t="str">
        <f t="shared" si="3"/>
        <v>Not Delivered</v>
      </c>
      <c r="S33" s="16">
        <f t="shared" si="4"/>
        <v>0</v>
      </c>
      <c r="T33" t="str">
        <f>_xlfn.XLOOKUP(F33,CustomerMaster!$A$2:$A$50,CustomerMaster!$B$2:$B$50,"Not Found")</f>
        <v>Emily Johnson</v>
      </c>
    </row>
    <row r="34" spans="1:20" x14ac:dyDescent="0.35">
      <c r="A34" s="1" t="s">
        <v>182</v>
      </c>
      <c r="B34" s="4" t="s">
        <v>183</v>
      </c>
      <c r="C34" s="4" t="str">
        <f t="shared" si="0"/>
        <v>May</v>
      </c>
      <c r="D34" s="4" t="s">
        <v>184</v>
      </c>
      <c r="E34" s="4"/>
      <c r="F34" s="1" t="s">
        <v>140</v>
      </c>
      <c r="G34" s="1" t="s">
        <v>107</v>
      </c>
      <c r="H34" s="1" t="s">
        <v>35</v>
      </c>
      <c r="I34" s="2">
        <v>27</v>
      </c>
      <c r="J34" s="2">
        <v>2</v>
      </c>
      <c r="K34" s="12">
        <v>54</v>
      </c>
      <c r="L34" s="1" t="s">
        <v>20</v>
      </c>
      <c r="M34" s="1" t="s">
        <v>31</v>
      </c>
      <c r="N34" s="1" t="s">
        <v>38</v>
      </c>
      <c r="O34" s="16" t="str">
        <f>_xlfn.XLOOKUP(G34,ProductMaster!$A$2:$A$23,ProductMaster!$C$2:$C$23,"Not Found")</f>
        <v>Fashion</v>
      </c>
      <c r="P34" t="str">
        <f t="shared" si="1"/>
        <v>Delivered</v>
      </c>
      <c r="Q34" s="16">
        <f t="shared" si="2"/>
        <v>1</v>
      </c>
      <c r="R34" s="16" t="str">
        <f t="shared" si="3"/>
        <v>Fast</v>
      </c>
      <c r="S34" s="16">
        <f t="shared" si="4"/>
        <v>54</v>
      </c>
      <c r="T34" t="str">
        <f>_xlfn.XLOOKUP(F34,CustomerMaster!$A$2:$A$50,CustomerMaster!$B$2:$B$50,"Not Found")</f>
        <v>Elijah Lewis</v>
      </c>
    </row>
    <row r="35" spans="1:20" x14ac:dyDescent="0.35">
      <c r="A35" s="1" t="s">
        <v>186</v>
      </c>
      <c r="B35" s="4" t="s">
        <v>187</v>
      </c>
      <c r="C35" s="4" t="str">
        <f t="shared" si="0"/>
        <v>Nov</v>
      </c>
      <c r="D35" s="4"/>
      <c r="E35" s="4"/>
      <c r="F35" s="1" t="s">
        <v>129</v>
      </c>
      <c r="G35" s="1" t="s">
        <v>116</v>
      </c>
      <c r="H35" s="1" t="s">
        <v>35</v>
      </c>
      <c r="I35" s="2">
        <v>21</v>
      </c>
      <c r="J35" s="2">
        <v>1</v>
      </c>
      <c r="K35" s="12">
        <v>21</v>
      </c>
      <c r="L35" s="1" t="s">
        <v>58</v>
      </c>
      <c r="M35" s="1" t="s">
        <v>37</v>
      </c>
      <c r="N35" s="1" t="s">
        <v>22</v>
      </c>
      <c r="O35" s="16" t="str">
        <f>_xlfn.XLOOKUP(G35,ProductMaster!$A$2:$A$23,ProductMaster!$C$2:$C$23,"Not Found")</f>
        <v>Books</v>
      </c>
      <c r="P35" t="str">
        <f t="shared" si="1"/>
        <v>Active</v>
      </c>
      <c r="Q35" s="16" t="str">
        <f t="shared" si="2"/>
        <v/>
      </c>
      <c r="R35" s="16" t="str">
        <f t="shared" si="3"/>
        <v>Not Delivered</v>
      </c>
      <c r="S35" s="16">
        <f t="shared" si="4"/>
        <v>0</v>
      </c>
      <c r="T35" t="str">
        <f>_xlfn.XLOOKUP(F35,CustomerMaster!$A$2:$A$50,CustomerMaster!$B$2:$B$50,"Not Found")</f>
        <v>Emma King</v>
      </c>
    </row>
    <row r="36" spans="1:20" x14ac:dyDescent="0.35">
      <c r="A36" s="1" t="s">
        <v>189</v>
      </c>
      <c r="B36" s="4" t="s">
        <v>190</v>
      </c>
      <c r="C36" s="4" t="str">
        <f t="shared" si="0"/>
        <v>Dec</v>
      </c>
      <c r="D36" s="4" t="s">
        <v>191</v>
      </c>
      <c r="E36" s="4"/>
      <c r="F36" s="1" t="s">
        <v>192</v>
      </c>
      <c r="G36" s="1" t="s">
        <v>193</v>
      </c>
      <c r="H36" s="1" t="s">
        <v>35</v>
      </c>
      <c r="I36" s="2">
        <v>172</v>
      </c>
      <c r="J36" s="2">
        <v>1</v>
      </c>
      <c r="K36" s="12">
        <v>172</v>
      </c>
      <c r="L36" s="1" t="s">
        <v>44</v>
      </c>
      <c r="M36" s="1" t="s">
        <v>31</v>
      </c>
      <c r="N36" s="1" t="s">
        <v>38</v>
      </c>
      <c r="O36" s="16" t="str">
        <f>_xlfn.XLOOKUP(G36,ProductMaster!$A$2:$A$23,ProductMaster!$C$2:$C$23,"Not Found")</f>
        <v>Electronics</v>
      </c>
      <c r="P36" t="str">
        <f t="shared" si="1"/>
        <v>Delivered</v>
      </c>
      <c r="Q36" s="16">
        <f t="shared" si="2"/>
        <v>4</v>
      </c>
      <c r="R36" s="16" t="str">
        <f t="shared" si="3"/>
        <v>Slow</v>
      </c>
      <c r="S36" s="16">
        <f t="shared" si="4"/>
        <v>172</v>
      </c>
      <c r="T36" t="str">
        <f>_xlfn.XLOOKUP(F36,CustomerMaster!$A$2:$A$50,CustomerMaster!$B$2:$B$50,"Not Found")</f>
        <v>Luke Gray</v>
      </c>
    </row>
    <row r="37" spans="1:20" x14ac:dyDescent="0.35">
      <c r="A37" s="1" t="s">
        <v>195</v>
      </c>
      <c r="B37" s="4" t="s">
        <v>196</v>
      </c>
      <c r="C37" s="4" t="str">
        <f t="shared" si="0"/>
        <v>Jul</v>
      </c>
      <c r="D37" s="4"/>
      <c r="E37" s="4"/>
      <c r="F37" s="1" t="s">
        <v>174</v>
      </c>
      <c r="G37" s="1" t="s">
        <v>197</v>
      </c>
      <c r="H37" s="1" t="s">
        <v>18</v>
      </c>
      <c r="I37" s="2">
        <v>212</v>
      </c>
      <c r="J37" s="2">
        <v>3</v>
      </c>
      <c r="K37" s="12">
        <v>636</v>
      </c>
      <c r="L37" s="1" t="s">
        <v>58</v>
      </c>
      <c r="M37" s="1" t="s">
        <v>37</v>
      </c>
      <c r="N37" s="1" t="s">
        <v>45</v>
      </c>
      <c r="O37" s="16" t="str">
        <f>_xlfn.XLOOKUP(G37,ProductMaster!$A$2:$A$23,ProductMaster!$C$2:$C$23,"Not Found")</f>
        <v>Home</v>
      </c>
      <c r="P37" t="str">
        <f t="shared" si="1"/>
        <v>Active</v>
      </c>
      <c r="Q37" s="16" t="str">
        <f t="shared" si="2"/>
        <v/>
      </c>
      <c r="R37" s="16" t="str">
        <f t="shared" si="3"/>
        <v>Not Delivered</v>
      </c>
      <c r="S37" s="16">
        <f t="shared" si="4"/>
        <v>0</v>
      </c>
      <c r="T37" t="str">
        <f>_xlfn.XLOOKUP(F37,CustomerMaster!$A$2:$A$50,CustomerMaster!$B$2:$B$50,"Not Found")</f>
        <v>Harper Young</v>
      </c>
    </row>
    <row r="38" spans="1:20" x14ac:dyDescent="0.35">
      <c r="A38" s="1" t="s">
        <v>199</v>
      </c>
      <c r="B38" s="4" t="s">
        <v>200</v>
      </c>
      <c r="C38" s="4" t="str">
        <f t="shared" si="0"/>
        <v>Oct</v>
      </c>
      <c r="D38" s="4" t="s">
        <v>201</v>
      </c>
      <c r="E38" s="4"/>
      <c r="F38" s="1" t="s">
        <v>42</v>
      </c>
      <c r="G38" s="1" t="s">
        <v>150</v>
      </c>
      <c r="H38" s="1" t="s">
        <v>28</v>
      </c>
      <c r="I38" s="2">
        <v>41</v>
      </c>
      <c r="J38" s="2">
        <v>4</v>
      </c>
      <c r="K38" s="12">
        <v>164</v>
      </c>
      <c r="L38" s="1" t="s">
        <v>30</v>
      </c>
      <c r="M38" s="1" t="s">
        <v>31</v>
      </c>
      <c r="N38" s="1" t="s">
        <v>52</v>
      </c>
      <c r="O38" s="16" t="str">
        <f>_xlfn.XLOOKUP(G38,ProductMaster!$A$2:$A$23,ProductMaster!$C$2:$C$23,"Not Found")</f>
        <v>Toys</v>
      </c>
      <c r="P38" t="str">
        <f t="shared" si="1"/>
        <v>Delivered</v>
      </c>
      <c r="Q38" s="16">
        <f t="shared" si="2"/>
        <v>5</v>
      </c>
      <c r="R38" s="16" t="str">
        <f t="shared" si="3"/>
        <v>Slow</v>
      </c>
      <c r="S38" s="16">
        <f t="shared" si="4"/>
        <v>164</v>
      </c>
      <c r="T38" t="str">
        <f>_xlfn.XLOOKUP(F38,CustomerMaster!$A$2:$A$50,CustomerMaster!$B$2:$B$50,"Not Found")</f>
        <v>Grace Ward</v>
      </c>
    </row>
    <row r="39" spans="1:20" x14ac:dyDescent="0.35">
      <c r="A39" s="1" t="s">
        <v>203</v>
      </c>
      <c r="B39" s="4" t="s">
        <v>204</v>
      </c>
      <c r="C39" s="4" t="str">
        <f t="shared" si="0"/>
        <v>Aug</v>
      </c>
      <c r="D39" s="4"/>
      <c r="E39" s="4" t="s">
        <v>205</v>
      </c>
      <c r="F39" s="1" t="s">
        <v>144</v>
      </c>
      <c r="G39" s="1" t="s">
        <v>206</v>
      </c>
      <c r="H39" s="1" t="s">
        <v>18</v>
      </c>
      <c r="I39" s="2">
        <v>32</v>
      </c>
      <c r="J39" s="2">
        <v>2</v>
      </c>
      <c r="K39" s="12">
        <v>32</v>
      </c>
      <c r="L39" s="1" t="s">
        <v>66</v>
      </c>
      <c r="M39" s="1" t="s">
        <v>21</v>
      </c>
      <c r="N39" s="1" t="s">
        <v>93</v>
      </c>
      <c r="O39" s="16" t="str">
        <f>_xlfn.XLOOKUP(G39,ProductMaster!$A$2:$A$23,ProductMaster!$C$2:$C$23,"Not Found")</f>
        <v>Toys</v>
      </c>
      <c r="P39" t="str">
        <f t="shared" si="1"/>
        <v>Cancelled</v>
      </c>
      <c r="Q39" s="16" t="str">
        <f t="shared" si="2"/>
        <v/>
      </c>
      <c r="R39" s="16" t="str">
        <f t="shared" si="3"/>
        <v>Not Delivered</v>
      </c>
      <c r="S39" s="16">
        <f t="shared" si="4"/>
        <v>0</v>
      </c>
      <c r="T39" t="str">
        <f>_xlfn.XLOOKUP(F39,CustomerMaster!$A$2:$A$50,CustomerMaster!$B$2:$B$50,"Not Found")</f>
        <v>Lily Bennett</v>
      </c>
    </row>
    <row r="40" spans="1:20" x14ac:dyDescent="0.35">
      <c r="A40" s="1" t="s">
        <v>208</v>
      </c>
      <c r="B40" s="4" t="s">
        <v>209</v>
      </c>
      <c r="C40" s="4" t="str">
        <f t="shared" si="0"/>
        <v>Dec</v>
      </c>
      <c r="D40" s="4"/>
      <c r="E40" s="4"/>
      <c r="F40" s="1" t="s">
        <v>210</v>
      </c>
      <c r="G40" s="1" t="s">
        <v>155</v>
      </c>
      <c r="H40" s="1" t="s">
        <v>28</v>
      </c>
      <c r="I40" s="2">
        <v>66</v>
      </c>
      <c r="J40" s="2">
        <v>2</v>
      </c>
      <c r="K40" s="12">
        <v>132</v>
      </c>
      <c r="L40" s="1" t="s">
        <v>20</v>
      </c>
      <c r="M40" s="1" t="s">
        <v>37</v>
      </c>
      <c r="N40" s="1" t="s">
        <v>22</v>
      </c>
      <c r="O40" s="16" t="str">
        <f>_xlfn.XLOOKUP(G40,ProductMaster!$A$2:$A$23,ProductMaster!$C$2:$C$23,"Not Found")</f>
        <v>Fashion</v>
      </c>
      <c r="P40" t="str">
        <f t="shared" si="1"/>
        <v>Active</v>
      </c>
      <c r="Q40" s="16" t="str">
        <f t="shared" si="2"/>
        <v/>
      </c>
      <c r="R40" s="16" t="str">
        <f t="shared" si="3"/>
        <v>Not Delivered</v>
      </c>
      <c r="S40" s="16">
        <f t="shared" si="4"/>
        <v>0</v>
      </c>
      <c r="T40" t="str">
        <f>_xlfn.XLOOKUP(F40,CustomerMaster!$A$2:$A$50,CustomerMaster!$B$2:$B$50,"Not Found")</f>
        <v>Scarlett Murphy</v>
      </c>
    </row>
    <row r="41" spans="1:20" x14ac:dyDescent="0.35">
      <c r="A41" s="1" t="s">
        <v>212</v>
      </c>
      <c r="B41" s="4" t="s">
        <v>213</v>
      </c>
      <c r="C41" s="4" t="str">
        <f t="shared" si="0"/>
        <v>Dec</v>
      </c>
      <c r="D41" s="4"/>
      <c r="E41" s="4"/>
      <c r="F41" s="1" t="s">
        <v>214</v>
      </c>
      <c r="G41" s="1" t="s">
        <v>215</v>
      </c>
      <c r="H41" s="1" t="s">
        <v>28</v>
      </c>
      <c r="I41" s="2">
        <v>62</v>
      </c>
      <c r="J41" s="2">
        <v>4</v>
      </c>
      <c r="K41" s="12">
        <v>248</v>
      </c>
      <c r="L41" s="1" t="s">
        <v>66</v>
      </c>
      <c r="M41" s="1" t="s">
        <v>37</v>
      </c>
      <c r="N41" s="1" t="s">
        <v>45</v>
      </c>
      <c r="O41" s="16" t="str">
        <f>_xlfn.XLOOKUP(G41,ProductMaster!$A$2:$A$23,ProductMaster!$C$2:$C$23,"Not Found")</f>
        <v>Toys</v>
      </c>
      <c r="P41" t="str">
        <f t="shared" si="1"/>
        <v>Active</v>
      </c>
      <c r="Q41" s="16" t="str">
        <f t="shared" si="2"/>
        <v/>
      </c>
      <c r="R41" s="16" t="str">
        <f t="shared" si="3"/>
        <v>Not Delivered</v>
      </c>
      <c r="S41" s="16">
        <f t="shared" si="4"/>
        <v>0</v>
      </c>
      <c r="T41" t="str">
        <f>_xlfn.XLOOKUP(F41,CustomerMaster!$A$2:$A$50,CustomerMaster!$B$2:$B$50,"Not Found")</f>
        <v>Ava Robinson</v>
      </c>
    </row>
    <row r="42" spans="1:20" x14ac:dyDescent="0.35">
      <c r="A42" s="1" t="s">
        <v>217</v>
      </c>
      <c r="B42" s="4" t="s">
        <v>218</v>
      </c>
      <c r="C42" s="4" t="str">
        <f t="shared" si="0"/>
        <v>Sep</v>
      </c>
      <c r="D42" s="4" t="s">
        <v>219</v>
      </c>
      <c r="E42" s="4"/>
      <c r="F42" s="1" t="s">
        <v>220</v>
      </c>
      <c r="G42" s="1" t="s">
        <v>193</v>
      </c>
      <c r="H42" s="1" t="s">
        <v>72</v>
      </c>
      <c r="I42" s="2">
        <v>173</v>
      </c>
      <c r="J42" s="2">
        <v>4</v>
      </c>
      <c r="K42" s="12">
        <v>692</v>
      </c>
      <c r="L42" s="1" t="s">
        <v>20</v>
      </c>
      <c r="M42" s="1" t="s">
        <v>31</v>
      </c>
      <c r="N42" s="1" t="s">
        <v>45</v>
      </c>
      <c r="O42" s="16" t="str">
        <f>_xlfn.XLOOKUP(G42,ProductMaster!$A$2:$A$23,ProductMaster!$C$2:$C$23,"Not Found")</f>
        <v>Electronics</v>
      </c>
      <c r="P42" t="str">
        <f t="shared" si="1"/>
        <v>Delivered</v>
      </c>
      <c r="Q42" s="16">
        <f t="shared" si="2"/>
        <v>7</v>
      </c>
      <c r="R42" s="16" t="str">
        <f t="shared" si="3"/>
        <v>Slow</v>
      </c>
      <c r="S42" s="16">
        <f t="shared" si="4"/>
        <v>692</v>
      </c>
      <c r="T42" t="str">
        <f>_xlfn.XLOOKUP(F42,CustomerMaster!$A$2:$A$50,CustomerMaster!$B$2:$B$50,"Not Found")</f>
        <v>James Miller</v>
      </c>
    </row>
    <row r="43" spans="1:20" x14ac:dyDescent="0.35">
      <c r="A43" s="1" t="s">
        <v>222</v>
      </c>
      <c r="B43" s="4" t="s">
        <v>223</v>
      </c>
      <c r="C43" s="4" t="str">
        <f t="shared" si="0"/>
        <v>Jul</v>
      </c>
      <c r="D43" s="4" t="s">
        <v>224</v>
      </c>
      <c r="E43" s="4"/>
      <c r="F43" s="1" t="s">
        <v>167</v>
      </c>
      <c r="G43" s="1" t="s">
        <v>215</v>
      </c>
      <c r="H43" s="1" t="s">
        <v>72</v>
      </c>
      <c r="I43" s="2">
        <v>63</v>
      </c>
      <c r="J43" s="2">
        <v>3</v>
      </c>
      <c r="K43" s="12">
        <v>189</v>
      </c>
      <c r="L43" s="1" t="s">
        <v>20</v>
      </c>
      <c r="M43" s="1" t="s">
        <v>31</v>
      </c>
      <c r="N43" s="1" t="s">
        <v>45</v>
      </c>
      <c r="O43" s="16" t="str">
        <f>_xlfn.XLOOKUP(G43,ProductMaster!$A$2:$A$23,ProductMaster!$C$2:$C$23,"Not Found")</f>
        <v>Toys</v>
      </c>
      <c r="P43" t="str">
        <f t="shared" si="1"/>
        <v>Delivered</v>
      </c>
      <c r="Q43" s="16">
        <f t="shared" si="2"/>
        <v>2</v>
      </c>
      <c r="R43" s="16" t="str">
        <f t="shared" si="3"/>
        <v>Fast</v>
      </c>
      <c r="S43" s="16">
        <f t="shared" si="4"/>
        <v>189</v>
      </c>
      <c r="T43" t="str">
        <f>_xlfn.XLOOKUP(F43,CustomerMaster!$A$2:$A$50,CustomerMaster!$B$2:$B$50,"Not Found")</f>
        <v>Liam Walker</v>
      </c>
    </row>
    <row r="44" spans="1:20" x14ac:dyDescent="0.35">
      <c r="A44" s="1" t="s">
        <v>226</v>
      </c>
      <c r="B44" s="4" t="s">
        <v>48</v>
      </c>
      <c r="C44" s="4" t="str">
        <f t="shared" si="0"/>
        <v>Feb</v>
      </c>
      <c r="D44" s="4"/>
      <c r="E44" s="4" t="s">
        <v>227</v>
      </c>
      <c r="F44" s="1" t="s">
        <v>149</v>
      </c>
      <c r="G44" s="1" t="s">
        <v>71</v>
      </c>
      <c r="H44" s="1" t="s">
        <v>72</v>
      </c>
      <c r="I44" s="2">
        <v>36</v>
      </c>
      <c r="J44" s="2">
        <v>3</v>
      </c>
      <c r="K44" s="12">
        <v>36</v>
      </c>
      <c r="L44" s="1" t="s">
        <v>66</v>
      </c>
      <c r="M44" s="1" t="s">
        <v>21</v>
      </c>
      <c r="N44" s="1" t="s">
        <v>38</v>
      </c>
      <c r="O44" s="16" t="str">
        <f>_xlfn.XLOOKUP(G44,ProductMaster!$A$2:$A$23,ProductMaster!$C$2:$C$23,"Not Found")</f>
        <v>Home</v>
      </c>
      <c r="P44" t="str">
        <f t="shared" si="1"/>
        <v>Cancelled</v>
      </c>
      <c r="Q44" s="16" t="str">
        <f t="shared" si="2"/>
        <v/>
      </c>
      <c r="R44" s="16" t="str">
        <f t="shared" si="3"/>
        <v>Not Delivered</v>
      </c>
      <c r="S44" s="16">
        <f t="shared" si="4"/>
        <v>0</v>
      </c>
      <c r="T44" t="str">
        <f>_xlfn.XLOOKUP(F44,CustomerMaster!$A$2:$A$50,CustomerMaster!$B$2:$B$50,"Not Found")</f>
        <v>Benjamin Clark</v>
      </c>
    </row>
    <row r="45" spans="1:20" x14ac:dyDescent="0.35">
      <c r="A45" s="1" t="s">
        <v>229</v>
      </c>
      <c r="B45" s="4" t="s">
        <v>230</v>
      </c>
      <c r="C45" s="4" t="str">
        <f t="shared" si="0"/>
        <v>Dec</v>
      </c>
      <c r="D45" s="4"/>
      <c r="E45" s="4" t="s">
        <v>231</v>
      </c>
      <c r="F45" s="1" t="s">
        <v>214</v>
      </c>
      <c r="G45" s="1" t="s">
        <v>215</v>
      </c>
      <c r="H45" s="1" t="s">
        <v>64</v>
      </c>
      <c r="I45" s="2">
        <v>62</v>
      </c>
      <c r="J45" s="2">
        <v>1</v>
      </c>
      <c r="K45" s="12">
        <v>62</v>
      </c>
      <c r="L45" s="1" t="s">
        <v>20</v>
      </c>
      <c r="M45" s="1" t="s">
        <v>21</v>
      </c>
      <c r="N45" s="1" t="s">
        <v>52</v>
      </c>
      <c r="O45" s="16" t="str">
        <f>_xlfn.XLOOKUP(G45,ProductMaster!$A$2:$A$23,ProductMaster!$C$2:$C$23,"Not Found")</f>
        <v>Toys</v>
      </c>
      <c r="P45" t="str">
        <f t="shared" si="1"/>
        <v>Cancelled</v>
      </c>
      <c r="Q45" s="16" t="str">
        <f t="shared" si="2"/>
        <v/>
      </c>
      <c r="R45" s="16" t="str">
        <f t="shared" si="3"/>
        <v>Not Delivered</v>
      </c>
      <c r="S45" s="16">
        <f t="shared" si="4"/>
        <v>0</v>
      </c>
      <c r="T45" t="str">
        <f>_xlfn.XLOOKUP(F45,CustomerMaster!$A$2:$A$50,CustomerMaster!$B$2:$B$50,"Not Found")</f>
        <v>Ava Robinson</v>
      </c>
    </row>
    <row r="46" spans="1:20" x14ac:dyDescent="0.35">
      <c r="A46" s="1" t="s">
        <v>233</v>
      </c>
      <c r="B46" s="4" t="s">
        <v>234</v>
      </c>
      <c r="C46" s="4" t="str">
        <f t="shared" si="0"/>
        <v>Jun</v>
      </c>
      <c r="D46" s="4"/>
      <c r="E46" s="4" t="s">
        <v>235</v>
      </c>
      <c r="F46" s="1" t="s">
        <v>62</v>
      </c>
      <c r="G46" s="1" t="s">
        <v>81</v>
      </c>
      <c r="H46" s="1" t="s">
        <v>64</v>
      </c>
      <c r="I46" s="2">
        <v>137</v>
      </c>
      <c r="J46" s="2">
        <v>5</v>
      </c>
      <c r="K46" s="12">
        <v>137</v>
      </c>
      <c r="L46" s="1" t="s">
        <v>58</v>
      </c>
      <c r="M46" s="1" t="s">
        <v>21</v>
      </c>
      <c r="N46" s="1" t="s">
        <v>93</v>
      </c>
      <c r="O46" s="16" t="str">
        <f>_xlfn.XLOOKUP(G46,ProductMaster!$A$2:$A$23,ProductMaster!$C$2:$C$23,"Not Found")</f>
        <v>Home</v>
      </c>
      <c r="P46" t="str">
        <f t="shared" si="1"/>
        <v>Cancelled</v>
      </c>
      <c r="Q46" s="16" t="str">
        <f t="shared" si="2"/>
        <v/>
      </c>
      <c r="R46" s="16" t="str">
        <f t="shared" si="3"/>
        <v>Not Delivered</v>
      </c>
      <c r="S46" s="16">
        <f t="shared" si="4"/>
        <v>0</v>
      </c>
      <c r="T46" t="str">
        <f>_xlfn.XLOOKUP(F46,CustomerMaster!$A$2:$A$50,CustomerMaster!$B$2:$B$50,"Not Found")</f>
        <v>Noah Wilson</v>
      </c>
    </row>
    <row r="47" spans="1:20" x14ac:dyDescent="0.35">
      <c r="A47" s="1" t="s">
        <v>237</v>
      </c>
      <c r="B47" s="4" t="s">
        <v>238</v>
      </c>
      <c r="C47" s="4" t="str">
        <f t="shared" si="0"/>
        <v>Dec</v>
      </c>
      <c r="D47" s="4" t="s">
        <v>239</v>
      </c>
      <c r="E47" s="4"/>
      <c r="F47" s="1" t="s">
        <v>240</v>
      </c>
      <c r="G47" s="1" t="s">
        <v>102</v>
      </c>
      <c r="H47" s="1" t="s">
        <v>18</v>
      </c>
      <c r="I47" s="2">
        <v>73</v>
      </c>
      <c r="J47" s="2">
        <v>4</v>
      </c>
      <c r="K47" s="12">
        <v>292</v>
      </c>
      <c r="L47" s="1" t="s">
        <v>30</v>
      </c>
      <c r="M47" s="1" t="s">
        <v>31</v>
      </c>
      <c r="N47" s="1" t="s">
        <v>52</v>
      </c>
      <c r="O47" s="16" t="str">
        <f>_xlfn.XLOOKUP(G47,ProductMaster!$A$2:$A$23,ProductMaster!$C$2:$C$23,"Not Found")</f>
        <v>Electronics</v>
      </c>
      <c r="P47" t="str">
        <f t="shared" si="1"/>
        <v>Delivered</v>
      </c>
      <c r="Q47" s="16">
        <f t="shared" si="2"/>
        <v>4</v>
      </c>
      <c r="R47" s="16" t="str">
        <f t="shared" si="3"/>
        <v>Slow</v>
      </c>
      <c r="S47" s="16">
        <f t="shared" si="4"/>
        <v>292</v>
      </c>
      <c r="T47" t="str">
        <f>_xlfn.XLOOKUP(F47,CustomerMaster!$A$2:$A$50,CustomerMaster!$B$2:$B$50,"Not Found")</f>
        <v>Logan Ramirez</v>
      </c>
    </row>
    <row r="48" spans="1:20" x14ac:dyDescent="0.35">
      <c r="A48" s="1" t="s">
        <v>242</v>
      </c>
      <c r="B48" s="4" t="s">
        <v>243</v>
      </c>
      <c r="C48" s="4" t="str">
        <f t="shared" si="0"/>
        <v>Jul</v>
      </c>
      <c r="D48" s="4" t="s">
        <v>244</v>
      </c>
      <c r="E48" s="4"/>
      <c r="F48" s="1" t="s">
        <v>125</v>
      </c>
      <c r="G48" s="1" t="s">
        <v>63</v>
      </c>
      <c r="H48" s="1" t="s">
        <v>18</v>
      </c>
      <c r="I48" s="2">
        <v>104</v>
      </c>
      <c r="J48" s="2">
        <v>1</v>
      </c>
      <c r="K48" s="12">
        <v>104</v>
      </c>
      <c r="L48" s="1" t="s">
        <v>44</v>
      </c>
      <c r="M48" s="1" t="s">
        <v>31</v>
      </c>
      <c r="N48" s="1" t="s">
        <v>52</v>
      </c>
      <c r="O48" s="16" t="str">
        <f>_xlfn.XLOOKUP(G48,ProductMaster!$A$2:$A$23,ProductMaster!$C$2:$C$23,"Not Found")</f>
        <v>Electronics</v>
      </c>
      <c r="P48" t="str">
        <f t="shared" si="1"/>
        <v>Delivered</v>
      </c>
      <c r="Q48" s="16">
        <f t="shared" si="2"/>
        <v>2</v>
      </c>
      <c r="R48" s="16" t="str">
        <f t="shared" si="3"/>
        <v>Fast</v>
      </c>
      <c r="S48" s="16">
        <f t="shared" si="4"/>
        <v>104</v>
      </c>
      <c r="T48" t="str">
        <f>_xlfn.XLOOKUP(F48,CustomerMaster!$A$2:$A$50,CustomerMaster!$B$2:$B$50,"Not Found")</f>
        <v>Jacob Price</v>
      </c>
    </row>
    <row r="49" spans="1:20" x14ac:dyDescent="0.35">
      <c r="A49" s="1" t="s">
        <v>246</v>
      </c>
      <c r="B49" s="4" t="s">
        <v>247</v>
      </c>
      <c r="C49" s="4" t="str">
        <f t="shared" si="0"/>
        <v>Oct</v>
      </c>
      <c r="D49" s="4" t="s">
        <v>248</v>
      </c>
      <c r="E49" s="4"/>
      <c r="F49" s="1" t="s">
        <v>42</v>
      </c>
      <c r="G49" s="1" t="s">
        <v>98</v>
      </c>
      <c r="H49" s="1" t="s">
        <v>28</v>
      </c>
      <c r="I49" s="2">
        <v>97</v>
      </c>
      <c r="J49" s="2">
        <v>1</v>
      </c>
      <c r="K49" s="12">
        <v>97</v>
      </c>
      <c r="L49" s="1" t="s">
        <v>58</v>
      </c>
      <c r="M49" s="1" t="s">
        <v>31</v>
      </c>
      <c r="N49" s="1" t="s">
        <v>93</v>
      </c>
      <c r="O49" s="16" t="str">
        <f>_xlfn.XLOOKUP(G49,ProductMaster!$A$2:$A$23,ProductMaster!$C$2:$C$23,"Not Found")</f>
        <v>Fashion</v>
      </c>
      <c r="P49" t="str">
        <f t="shared" si="1"/>
        <v>Delivered</v>
      </c>
      <c r="Q49" s="16">
        <f t="shared" si="2"/>
        <v>5</v>
      </c>
      <c r="R49" s="16" t="str">
        <f t="shared" si="3"/>
        <v>Slow</v>
      </c>
      <c r="S49" s="16">
        <f t="shared" si="4"/>
        <v>97</v>
      </c>
      <c r="T49" t="str">
        <f>_xlfn.XLOOKUP(F49,CustomerMaster!$A$2:$A$50,CustomerMaster!$B$2:$B$50,"Not Found")</f>
        <v>Grace Ward</v>
      </c>
    </row>
    <row r="50" spans="1:20" x14ac:dyDescent="0.35">
      <c r="A50" s="1" t="s">
        <v>250</v>
      </c>
      <c r="B50" s="4" t="s">
        <v>251</v>
      </c>
      <c r="C50" s="4" t="str">
        <f t="shared" si="0"/>
        <v>May</v>
      </c>
      <c r="D50" s="4"/>
      <c r="E50" s="4"/>
      <c r="F50" s="1" t="s">
        <v>252</v>
      </c>
      <c r="G50" s="1" t="s">
        <v>102</v>
      </c>
      <c r="H50" s="1" t="s">
        <v>35</v>
      </c>
      <c r="I50" s="2">
        <v>73</v>
      </c>
      <c r="J50" s="2">
        <v>5</v>
      </c>
      <c r="K50" s="12">
        <v>365</v>
      </c>
      <c r="L50" s="1" t="s">
        <v>20</v>
      </c>
      <c r="M50" s="1" t="s">
        <v>37</v>
      </c>
      <c r="N50" s="1" t="s">
        <v>52</v>
      </c>
      <c r="O50" s="16" t="str">
        <f>_xlfn.XLOOKUP(G50,ProductMaster!$A$2:$A$23,ProductMaster!$C$2:$C$23,"Not Found")</f>
        <v>Electronics</v>
      </c>
      <c r="P50" t="str">
        <f t="shared" si="1"/>
        <v>Active</v>
      </c>
      <c r="Q50" s="16" t="str">
        <f t="shared" si="2"/>
        <v/>
      </c>
      <c r="R50" s="16" t="str">
        <f t="shared" si="3"/>
        <v>Not Delivered</v>
      </c>
      <c r="S50" s="16">
        <f t="shared" si="4"/>
        <v>0</v>
      </c>
      <c r="T50" t="str">
        <f>_xlfn.XLOOKUP(F50,CustomerMaster!$A$2:$A$50,CustomerMaster!$B$2:$B$50,"Not Found")</f>
        <v>Zoe Mitchell</v>
      </c>
    </row>
    <row r="51" spans="1:20" x14ac:dyDescent="0.35">
      <c r="A51" s="1" t="s">
        <v>254</v>
      </c>
      <c r="B51" s="4" t="s">
        <v>255</v>
      </c>
      <c r="C51" s="4" t="str">
        <f t="shared" si="0"/>
        <v>Feb</v>
      </c>
      <c r="D51" s="4" t="s">
        <v>256</v>
      </c>
      <c r="E51" s="4"/>
      <c r="F51" s="1" t="s">
        <v>149</v>
      </c>
      <c r="G51" s="1" t="s">
        <v>107</v>
      </c>
      <c r="H51" s="1" t="s">
        <v>28</v>
      </c>
      <c r="I51" s="2">
        <v>27</v>
      </c>
      <c r="J51" s="2">
        <v>3</v>
      </c>
      <c r="K51" s="12">
        <v>81</v>
      </c>
      <c r="L51" s="1" t="s">
        <v>58</v>
      </c>
      <c r="M51" s="1" t="s">
        <v>31</v>
      </c>
      <c r="N51" s="1" t="s">
        <v>45</v>
      </c>
      <c r="O51" s="16" t="str">
        <f>_xlfn.XLOOKUP(G51,ProductMaster!$A$2:$A$23,ProductMaster!$C$2:$C$23,"Not Found")</f>
        <v>Fashion</v>
      </c>
      <c r="P51" t="str">
        <f t="shared" si="1"/>
        <v>Delivered</v>
      </c>
      <c r="Q51" s="16">
        <f t="shared" si="2"/>
        <v>7</v>
      </c>
      <c r="R51" s="16" t="str">
        <f t="shared" si="3"/>
        <v>Slow</v>
      </c>
      <c r="S51" s="16">
        <f t="shared" si="4"/>
        <v>81</v>
      </c>
      <c r="T51" t="str">
        <f>_xlfn.XLOOKUP(F51,CustomerMaster!$A$2:$A$50,CustomerMaster!$B$2:$B$50,"Not Found")</f>
        <v>Benjamin Clark</v>
      </c>
    </row>
    <row r="52" spans="1:20" x14ac:dyDescent="0.35">
      <c r="A52" s="1" t="s">
        <v>257</v>
      </c>
      <c r="B52" s="4" t="s">
        <v>133</v>
      </c>
      <c r="C52" s="4" t="str">
        <f t="shared" si="0"/>
        <v>Oct</v>
      </c>
      <c r="D52" s="4"/>
      <c r="E52" s="4"/>
      <c r="F52" s="1" t="s">
        <v>125</v>
      </c>
      <c r="G52" s="1" t="s">
        <v>71</v>
      </c>
      <c r="H52" s="1" t="s">
        <v>18</v>
      </c>
      <c r="I52" s="2">
        <v>37</v>
      </c>
      <c r="J52" s="2">
        <v>1</v>
      </c>
      <c r="K52" s="12">
        <v>37</v>
      </c>
      <c r="L52" s="1" t="s">
        <v>20</v>
      </c>
      <c r="M52" s="1" t="s">
        <v>37</v>
      </c>
      <c r="N52" s="1" t="s">
        <v>45</v>
      </c>
      <c r="O52" s="16" t="str">
        <f>_xlfn.XLOOKUP(G52,ProductMaster!$A$2:$A$23,ProductMaster!$C$2:$C$23,"Not Found")</f>
        <v>Home</v>
      </c>
      <c r="P52" t="str">
        <f t="shared" si="1"/>
        <v>Active</v>
      </c>
      <c r="Q52" s="16" t="str">
        <f t="shared" si="2"/>
        <v/>
      </c>
      <c r="R52" s="16" t="str">
        <f t="shared" si="3"/>
        <v>Not Delivered</v>
      </c>
      <c r="S52" s="16">
        <f t="shared" si="4"/>
        <v>0</v>
      </c>
      <c r="T52" t="str">
        <f>_xlfn.XLOOKUP(F52,CustomerMaster!$A$2:$A$50,CustomerMaster!$B$2:$B$50,"Not Found")</f>
        <v>Jacob Price</v>
      </c>
    </row>
    <row r="53" spans="1:20" x14ac:dyDescent="0.35">
      <c r="A53" s="1" t="s">
        <v>259</v>
      </c>
      <c r="B53" s="4" t="s">
        <v>260</v>
      </c>
      <c r="C53" s="4" t="str">
        <f t="shared" si="0"/>
        <v>Jan</v>
      </c>
      <c r="D53" s="4" t="s">
        <v>261</v>
      </c>
      <c r="E53" s="4"/>
      <c r="F53" s="1" t="s">
        <v>170</v>
      </c>
      <c r="G53" s="1" t="s">
        <v>116</v>
      </c>
      <c r="H53" s="1" t="s">
        <v>18</v>
      </c>
      <c r="I53" s="2">
        <v>22</v>
      </c>
      <c r="J53" s="2">
        <v>1</v>
      </c>
      <c r="K53" s="12">
        <v>22</v>
      </c>
      <c r="L53" s="1" t="s">
        <v>66</v>
      </c>
      <c r="M53" s="1" t="s">
        <v>31</v>
      </c>
      <c r="N53" s="1" t="s">
        <v>93</v>
      </c>
      <c r="O53" s="16" t="str">
        <f>_xlfn.XLOOKUP(G53,ProductMaster!$A$2:$A$23,ProductMaster!$C$2:$C$23,"Not Found")</f>
        <v>Books</v>
      </c>
      <c r="P53" t="str">
        <f t="shared" si="1"/>
        <v>Delivered</v>
      </c>
      <c r="Q53" s="16">
        <f t="shared" si="2"/>
        <v>2</v>
      </c>
      <c r="R53" s="16" t="str">
        <f t="shared" si="3"/>
        <v>Fast</v>
      </c>
      <c r="S53" s="16">
        <f t="shared" si="4"/>
        <v>22</v>
      </c>
      <c r="T53" t="str">
        <f>_xlfn.XLOOKUP(F53,CustomerMaster!$A$2:$A$50,CustomerMaster!$B$2:$B$50,"Not Found")</f>
        <v>Harper Young</v>
      </c>
    </row>
    <row r="54" spans="1:20" x14ac:dyDescent="0.35">
      <c r="A54" s="1" t="s">
        <v>263</v>
      </c>
      <c r="B54" s="4" t="s">
        <v>80</v>
      </c>
      <c r="C54" s="4" t="str">
        <f t="shared" si="0"/>
        <v>Dec</v>
      </c>
      <c r="D54" s="4" t="s">
        <v>264</v>
      </c>
      <c r="E54" s="4"/>
      <c r="F54" s="1" t="s">
        <v>120</v>
      </c>
      <c r="G54" s="1" t="s">
        <v>197</v>
      </c>
      <c r="H54" s="1" t="s">
        <v>64</v>
      </c>
      <c r="I54" s="2">
        <v>218</v>
      </c>
      <c r="J54" s="2">
        <v>5</v>
      </c>
      <c r="K54" s="12">
        <v>1090</v>
      </c>
      <c r="L54" s="1" t="s">
        <v>44</v>
      </c>
      <c r="M54" s="1" t="s">
        <v>31</v>
      </c>
      <c r="N54" s="1" t="s">
        <v>22</v>
      </c>
      <c r="O54" s="16" t="str">
        <f>_xlfn.XLOOKUP(G54,ProductMaster!$A$2:$A$23,ProductMaster!$C$2:$C$23,"Not Found")</f>
        <v>Home</v>
      </c>
      <c r="P54" t="str">
        <f t="shared" si="1"/>
        <v>Delivered</v>
      </c>
      <c r="Q54" s="16">
        <f t="shared" si="2"/>
        <v>3</v>
      </c>
      <c r="R54" s="16" t="str">
        <f t="shared" si="3"/>
        <v>Slow</v>
      </c>
      <c r="S54" s="16">
        <f t="shared" si="4"/>
        <v>1090</v>
      </c>
      <c r="T54" t="str">
        <f>_xlfn.XLOOKUP(F54,CustomerMaster!$A$2:$A$50,CustomerMaster!$B$2:$B$50,"Not Found")</f>
        <v>Mason Hall</v>
      </c>
    </row>
    <row r="55" spans="1:20" x14ac:dyDescent="0.35">
      <c r="A55" s="1" t="s">
        <v>266</v>
      </c>
      <c r="B55" s="4" t="s">
        <v>267</v>
      </c>
      <c r="C55" s="4" t="str">
        <f t="shared" si="0"/>
        <v>Mar</v>
      </c>
      <c r="D55" s="4"/>
      <c r="E55" s="4" t="s">
        <v>268</v>
      </c>
      <c r="F55" s="1" t="s">
        <v>159</v>
      </c>
      <c r="G55" s="1" t="s">
        <v>215</v>
      </c>
      <c r="H55" s="1" t="s">
        <v>18</v>
      </c>
      <c r="I55" s="2">
        <v>64</v>
      </c>
      <c r="J55" s="2">
        <v>1</v>
      </c>
      <c r="K55" s="12">
        <v>64</v>
      </c>
      <c r="L55" s="1" t="s">
        <v>20</v>
      </c>
      <c r="M55" s="1" t="s">
        <v>21</v>
      </c>
      <c r="N55" s="1" t="s">
        <v>38</v>
      </c>
      <c r="O55" s="16" t="str">
        <f>_xlfn.XLOOKUP(G55,ProductMaster!$A$2:$A$23,ProductMaster!$C$2:$C$23,"Not Found")</f>
        <v>Toys</v>
      </c>
      <c r="P55" t="str">
        <f t="shared" si="1"/>
        <v>Cancelled</v>
      </c>
      <c r="Q55" s="16" t="str">
        <f t="shared" si="2"/>
        <v/>
      </c>
      <c r="R55" s="16" t="str">
        <f t="shared" si="3"/>
        <v>Not Delivered</v>
      </c>
      <c r="S55" s="16">
        <f t="shared" si="4"/>
        <v>0</v>
      </c>
      <c r="T55" t="str">
        <f>_xlfn.XLOOKUP(F55,CustomerMaster!$A$2:$A$50,CustomerMaster!$B$2:$B$50,"Not Found")</f>
        <v>Grace Scott</v>
      </c>
    </row>
    <row r="56" spans="1:20" x14ac:dyDescent="0.35">
      <c r="A56" s="1" t="s">
        <v>269</v>
      </c>
      <c r="B56" s="4" t="s">
        <v>47</v>
      </c>
      <c r="C56" s="4" t="str">
        <f t="shared" si="0"/>
        <v>Feb</v>
      </c>
      <c r="D56" s="4" t="s">
        <v>270</v>
      </c>
      <c r="E56" s="4"/>
      <c r="F56" s="1" t="s">
        <v>179</v>
      </c>
      <c r="G56" s="1" t="s">
        <v>71</v>
      </c>
      <c r="H56" s="1" t="s">
        <v>64</v>
      </c>
      <c r="I56" s="2">
        <v>36</v>
      </c>
      <c r="J56" s="2">
        <v>4</v>
      </c>
      <c r="K56" s="12">
        <v>144</v>
      </c>
      <c r="L56" s="1" t="s">
        <v>44</v>
      </c>
      <c r="M56" s="1" t="s">
        <v>31</v>
      </c>
      <c r="N56" s="1" t="s">
        <v>52</v>
      </c>
      <c r="O56" s="16" t="str">
        <f>_xlfn.XLOOKUP(G56,ProductMaster!$A$2:$A$23,ProductMaster!$C$2:$C$23,"Not Found")</f>
        <v>Home</v>
      </c>
      <c r="P56" t="str">
        <f t="shared" si="1"/>
        <v>Delivered</v>
      </c>
      <c r="Q56" s="16">
        <f t="shared" si="2"/>
        <v>4</v>
      </c>
      <c r="R56" s="16" t="str">
        <f t="shared" si="3"/>
        <v>Slow</v>
      </c>
      <c r="S56" s="16">
        <f t="shared" si="4"/>
        <v>144</v>
      </c>
      <c r="T56" t="str">
        <f>_xlfn.XLOOKUP(F56,CustomerMaster!$A$2:$A$50,CustomerMaster!$B$2:$B$50,"Not Found")</f>
        <v>Emily Johnson</v>
      </c>
    </row>
    <row r="57" spans="1:20" x14ac:dyDescent="0.35">
      <c r="A57" s="1" t="s">
        <v>272</v>
      </c>
      <c r="B57" s="4" t="s">
        <v>273</v>
      </c>
      <c r="C57" s="4" t="str">
        <f t="shared" si="0"/>
        <v>Oct</v>
      </c>
      <c r="D57" s="4" t="s">
        <v>154</v>
      </c>
      <c r="E57" s="4"/>
      <c r="F57" s="1" t="s">
        <v>274</v>
      </c>
      <c r="G57" s="1" t="s">
        <v>215</v>
      </c>
      <c r="H57" s="1" t="s">
        <v>72</v>
      </c>
      <c r="I57" s="2">
        <v>65</v>
      </c>
      <c r="J57" s="2">
        <v>1</v>
      </c>
      <c r="K57" s="12">
        <v>65</v>
      </c>
      <c r="L57" s="1" t="s">
        <v>58</v>
      </c>
      <c r="M57" s="1" t="s">
        <v>31</v>
      </c>
      <c r="N57" s="1" t="s">
        <v>93</v>
      </c>
      <c r="O57" s="16" t="str">
        <f>_xlfn.XLOOKUP(G57,ProductMaster!$A$2:$A$23,ProductMaster!$C$2:$C$23,"Not Found")</f>
        <v>Toys</v>
      </c>
      <c r="P57" t="str">
        <f t="shared" si="1"/>
        <v>Delivered</v>
      </c>
      <c r="Q57" s="16">
        <f t="shared" si="2"/>
        <v>3</v>
      </c>
      <c r="R57" s="16" t="str">
        <f t="shared" si="3"/>
        <v>Slow</v>
      </c>
      <c r="S57" s="16">
        <f t="shared" si="4"/>
        <v>65</v>
      </c>
      <c r="T57" t="str">
        <f>_xlfn.XLOOKUP(F57,CustomerMaster!$A$2:$A$50,CustomerMaster!$B$2:$B$50,"Not Found")</f>
        <v>Emma King</v>
      </c>
    </row>
    <row r="58" spans="1:20" x14ac:dyDescent="0.35">
      <c r="A58" s="1" t="s">
        <v>276</v>
      </c>
      <c r="B58" s="4" t="s">
        <v>277</v>
      </c>
      <c r="C58" s="4" t="str">
        <f t="shared" si="0"/>
        <v>Jan</v>
      </c>
      <c r="D58" s="4" t="s">
        <v>278</v>
      </c>
      <c r="E58" s="4"/>
      <c r="F58" s="1" t="s">
        <v>129</v>
      </c>
      <c r="G58" s="1" t="s">
        <v>107</v>
      </c>
      <c r="H58" s="1" t="s">
        <v>64</v>
      </c>
      <c r="I58" s="2">
        <v>26</v>
      </c>
      <c r="J58" s="2">
        <v>1</v>
      </c>
      <c r="K58" s="12">
        <v>26</v>
      </c>
      <c r="L58" s="1" t="s">
        <v>20</v>
      </c>
      <c r="M58" s="1" t="s">
        <v>31</v>
      </c>
      <c r="N58" s="1" t="s">
        <v>22</v>
      </c>
      <c r="O58" s="16" t="str">
        <f>_xlfn.XLOOKUP(G58,ProductMaster!$A$2:$A$23,ProductMaster!$C$2:$C$23,"Not Found")</f>
        <v>Fashion</v>
      </c>
      <c r="P58" t="str">
        <f t="shared" si="1"/>
        <v>Delivered</v>
      </c>
      <c r="Q58" s="16">
        <f t="shared" si="2"/>
        <v>2</v>
      </c>
      <c r="R58" s="16" t="str">
        <f t="shared" si="3"/>
        <v>Fast</v>
      </c>
      <c r="S58" s="16">
        <f t="shared" si="4"/>
        <v>26</v>
      </c>
      <c r="T58" t="str">
        <f>_xlfn.XLOOKUP(F58,CustomerMaster!$A$2:$A$50,CustomerMaster!$B$2:$B$50,"Not Found")</f>
        <v>Emma King</v>
      </c>
    </row>
    <row r="59" spans="1:20" x14ac:dyDescent="0.35">
      <c r="A59" s="1" t="s">
        <v>280</v>
      </c>
      <c r="B59" s="4" t="s">
        <v>85</v>
      </c>
      <c r="C59" s="4" t="str">
        <f t="shared" si="0"/>
        <v>May</v>
      </c>
      <c r="D59" s="4"/>
      <c r="E59" s="4"/>
      <c r="F59" s="1" t="s">
        <v>16</v>
      </c>
      <c r="G59" s="1" t="s">
        <v>180</v>
      </c>
      <c r="H59" s="1" t="s">
        <v>18</v>
      </c>
      <c r="I59" s="2">
        <v>11</v>
      </c>
      <c r="J59" s="2">
        <v>5</v>
      </c>
      <c r="K59" s="12">
        <v>55</v>
      </c>
      <c r="L59" s="1" t="s">
        <v>30</v>
      </c>
      <c r="M59" s="1" t="s">
        <v>37</v>
      </c>
      <c r="N59" s="1" t="s">
        <v>93</v>
      </c>
      <c r="O59" s="16" t="str">
        <f>_xlfn.XLOOKUP(G59,ProductMaster!$A$2:$A$23,ProductMaster!$C$2:$C$23,"Not Found")</f>
        <v>Books</v>
      </c>
      <c r="P59" t="str">
        <f t="shared" si="1"/>
        <v>Active</v>
      </c>
      <c r="Q59" s="16" t="str">
        <f t="shared" si="2"/>
        <v/>
      </c>
      <c r="R59" s="16" t="str">
        <f t="shared" si="3"/>
        <v>Not Delivered</v>
      </c>
      <c r="S59" s="16">
        <f t="shared" si="4"/>
        <v>0</v>
      </c>
      <c r="T59" t="str">
        <f>_xlfn.XLOOKUP(F59,CustomerMaster!$A$2:$A$50,CustomerMaster!$B$2:$B$50,"Not Found")</f>
        <v>Zoe Mitchell</v>
      </c>
    </row>
    <row r="60" spans="1:20" x14ac:dyDescent="0.35">
      <c r="A60" s="1" t="s">
        <v>281</v>
      </c>
      <c r="B60" s="4" t="s">
        <v>282</v>
      </c>
      <c r="C60" s="4" t="str">
        <f t="shared" si="0"/>
        <v>Apr</v>
      </c>
      <c r="D60" s="4"/>
      <c r="E60" s="4" t="s">
        <v>283</v>
      </c>
      <c r="F60" s="1" t="s">
        <v>284</v>
      </c>
      <c r="G60" s="1" t="s">
        <v>34</v>
      </c>
      <c r="H60" s="1" t="s">
        <v>18</v>
      </c>
      <c r="I60" s="2">
        <v>195</v>
      </c>
      <c r="J60" s="2">
        <v>4</v>
      </c>
      <c r="K60" s="12">
        <v>195</v>
      </c>
      <c r="L60" s="1" t="s">
        <v>44</v>
      </c>
      <c r="M60" s="1" t="s">
        <v>21</v>
      </c>
      <c r="N60" s="1" t="s">
        <v>93</v>
      </c>
      <c r="O60" s="16" t="str">
        <f>_xlfn.XLOOKUP(G60,ProductMaster!$A$2:$A$23,ProductMaster!$C$2:$C$23,"Not Found")</f>
        <v>Home</v>
      </c>
      <c r="P60" t="str">
        <f t="shared" si="1"/>
        <v>Cancelled</v>
      </c>
      <c r="Q60" s="16" t="str">
        <f t="shared" si="2"/>
        <v/>
      </c>
      <c r="R60" s="16" t="str">
        <f t="shared" si="3"/>
        <v>Not Delivered</v>
      </c>
      <c r="S60" s="16">
        <f t="shared" si="4"/>
        <v>0</v>
      </c>
      <c r="T60" t="str">
        <f>_xlfn.XLOOKUP(F60,CustomerMaster!$A$2:$A$50,CustomerMaster!$B$2:$B$50,"Not Found")</f>
        <v>Ethan Davis</v>
      </c>
    </row>
    <row r="61" spans="1:20" x14ac:dyDescent="0.35">
      <c r="A61" s="1" t="s">
        <v>286</v>
      </c>
      <c r="B61" s="4" t="s">
        <v>33</v>
      </c>
      <c r="C61" s="4" t="str">
        <f t="shared" si="0"/>
        <v>Oct</v>
      </c>
      <c r="D61" s="4"/>
      <c r="E61" s="4" t="s">
        <v>287</v>
      </c>
      <c r="F61" s="1" t="s">
        <v>70</v>
      </c>
      <c r="G61" s="1" t="s">
        <v>77</v>
      </c>
      <c r="H61" s="1" t="s">
        <v>72</v>
      </c>
      <c r="I61" s="2">
        <v>44</v>
      </c>
      <c r="J61" s="2">
        <v>5</v>
      </c>
      <c r="K61" s="12">
        <v>44</v>
      </c>
      <c r="L61" s="1" t="s">
        <v>20</v>
      </c>
      <c r="M61" s="1" t="s">
        <v>21</v>
      </c>
      <c r="N61" s="1" t="s">
        <v>38</v>
      </c>
      <c r="O61" s="16" t="str">
        <f>_xlfn.XLOOKUP(G61,ProductMaster!$A$2:$A$23,ProductMaster!$C$2:$C$23,"Not Found")</f>
        <v>Fashion</v>
      </c>
      <c r="P61" t="str">
        <f t="shared" si="1"/>
        <v>Cancelled</v>
      </c>
      <c r="Q61" s="16" t="str">
        <f t="shared" si="2"/>
        <v/>
      </c>
      <c r="R61" s="16" t="str">
        <f t="shared" si="3"/>
        <v>Not Delivered</v>
      </c>
      <c r="S61" s="16">
        <f t="shared" si="4"/>
        <v>0</v>
      </c>
      <c r="T61" t="str">
        <f>_xlfn.XLOOKUP(F61,CustomerMaster!$A$2:$A$50,CustomerMaster!$B$2:$B$50,"Not Found")</f>
        <v>Ava Robinson</v>
      </c>
    </row>
    <row r="62" spans="1:20" x14ac:dyDescent="0.35">
      <c r="A62" s="1" t="s">
        <v>289</v>
      </c>
      <c r="B62" s="4" t="s">
        <v>290</v>
      </c>
      <c r="C62" s="4" t="str">
        <f t="shared" si="0"/>
        <v>Sep</v>
      </c>
      <c r="D62" s="4"/>
      <c r="E62" s="4"/>
      <c r="F62" s="1" t="s">
        <v>291</v>
      </c>
      <c r="G62" s="1" t="s">
        <v>121</v>
      </c>
      <c r="H62" s="1" t="s">
        <v>28</v>
      </c>
      <c r="I62" s="2">
        <v>69</v>
      </c>
      <c r="J62" s="2">
        <v>4</v>
      </c>
      <c r="K62" s="12">
        <v>276</v>
      </c>
      <c r="L62" s="1" t="s">
        <v>66</v>
      </c>
      <c r="M62" s="1" t="s">
        <v>37</v>
      </c>
      <c r="N62" s="1" t="s">
        <v>22</v>
      </c>
      <c r="O62" s="16" t="str">
        <f>_xlfn.XLOOKUP(G62,ProductMaster!$A$2:$A$23,ProductMaster!$C$2:$C$23,"Not Found")</f>
        <v>Books</v>
      </c>
      <c r="P62" t="str">
        <f t="shared" si="1"/>
        <v>Active</v>
      </c>
      <c r="Q62" s="16" t="str">
        <f t="shared" si="2"/>
        <v/>
      </c>
      <c r="R62" s="16" t="str">
        <f t="shared" si="3"/>
        <v>Not Delivered</v>
      </c>
      <c r="S62" s="16">
        <f t="shared" si="4"/>
        <v>0</v>
      </c>
      <c r="T62" t="str">
        <f>_xlfn.XLOOKUP(F62,CustomerMaster!$A$2:$A$50,CustomerMaster!$B$2:$B$50,"Not Found")</f>
        <v>Scarlett Adams</v>
      </c>
    </row>
    <row r="63" spans="1:20" x14ac:dyDescent="0.35">
      <c r="A63" s="1" t="s">
        <v>293</v>
      </c>
      <c r="B63" s="4" t="s">
        <v>294</v>
      </c>
      <c r="C63" s="4" t="str">
        <f t="shared" si="0"/>
        <v>Nov</v>
      </c>
      <c r="D63" s="4" t="s">
        <v>295</v>
      </c>
      <c r="E63" s="4"/>
      <c r="F63" s="1" t="s">
        <v>296</v>
      </c>
      <c r="G63" s="1" t="s">
        <v>130</v>
      </c>
      <c r="H63" s="1" t="s">
        <v>18</v>
      </c>
      <c r="I63" s="2">
        <v>815</v>
      </c>
      <c r="J63" s="2">
        <v>4</v>
      </c>
      <c r="K63" s="12">
        <v>3260</v>
      </c>
      <c r="L63" s="1" t="s">
        <v>30</v>
      </c>
      <c r="M63" s="1" t="s">
        <v>31</v>
      </c>
      <c r="N63" s="1" t="s">
        <v>38</v>
      </c>
      <c r="O63" s="16" t="str">
        <f>_xlfn.XLOOKUP(G63,ProductMaster!$A$2:$A$23,ProductMaster!$C$2:$C$23,"Not Found")</f>
        <v>Electronics</v>
      </c>
      <c r="P63" t="str">
        <f t="shared" si="1"/>
        <v>Delivered</v>
      </c>
      <c r="Q63" s="16">
        <f t="shared" si="2"/>
        <v>7</v>
      </c>
      <c r="R63" s="16" t="str">
        <f t="shared" si="3"/>
        <v>Slow</v>
      </c>
      <c r="S63" s="16">
        <f t="shared" si="4"/>
        <v>3260</v>
      </c>
      <c r="T63" t="str">
        <f>_xlfn.XLOOKUP(F63,CustomerMaster!$A$2:$A$50,CustomerMaster!$B$2:$B$50,"Not Found")</f>
        <v>Elijah Lewis</v>
      </c>
    </row>
    <row r="64" spans="1:20" x14ac:dyDescent="0.35">
      <c r="A64" s="1" t="s">
        <v>298</v>
      </c>
      <c r="B64" s="4" t="s">
        <v>299</v>
      </c>
      <c r="C64" s="4" t="str">
        <f t="shared" si="0"/>
        <v>May</v>
      </c>
      <c r="D64" s="4"/>
      <c r="E64" s="4"/>
      <c r="F64" s="1" t="s">
        <v>300</v>
      </c>
      <c r="G64" s="1" t="s">
        <v>107</v>
      </c>
      <c r="H64" s="1" t="s">
        <v>28</v>
      </c>
      <c r="I64" s="2">
        <v>27</v>
      </c>
      <c r="J64" s="2">
        <v>1</v>
      </c>
      <c r="K64" s="12">
        <v>27</v>
      </c>
      <c r="L64" s="1" t="s">
        <v>66</v>
      </c>
      <c r="M64" s="1" t="s">
        <v>37</v>
      </c>
      <c r="N64" s="1" t="s">
        <v>52</v>
      </c>
      <c r="O64" s="16" t="str">
        <f>_xlfn.XLOOKUP(G64,ProductMaster!$A$2:$A$23,ProductMaster!$C$2:$C$23,"Not Found")</f>
        <v>Fashion</v>
      </c>
      <c r="P64" t="str">
        <f t="shared" si="1"/>
        <v>Active</v>
      </c>
      <c r="Q64" s="16" t="str">
        <f t="shared" si="2"/>
        <v/>
      </c>
      <c r="R64" s="16" t="str">
        <f t="shared" si="3"/>
        <v>Not Delivered</v>
      </c>
      <c r="S64" s="16">
        <f t="shared" si="4"/>
        <v>0</v>
      </c>
      <c r="T64" t="str">
        <f>_xlfn.XLOOKUP(F64,CustomerMaster!$A$2:$A$50,CustomerMaster!$B$2:$B$50,"Not Found")</f>
        <v>Noah Wilson</v>
      </c>
    </row>
    <row r="65" spans="1:20" x14ac:dyDescent="0.35">
      <c r="A65" s="1" t="s">
        <v>301</v>
      </c>
      <c r="B65" s="4" t="s">
        <v>213</v>
      </c>
      <c r="C65" s="4" t="str">
        <f t="shared" si="0"/>
        <v>Dec</v>
      </c>
      <c r="D65" s="4" t="s">
        <v>80</v>
      </c>
      <c r="E65" s="4"/>
      <c r="F65" s="1" t="s">
        <v>302</v>
      </c>
      <c r="G65" s="1" t="s">
        <v>81</v>
      </c>
      <c r="H65" s="1" t="s">
        <v>72</v>
      </c>
      <c r="I65" s="2">
        <v>139</v>
      </c>
      <c r="J65" s="2">
        <v>5</v>
      </c>
      <c r="K65" s="12">
        <v>695</v>
      </c>
      <c r="L65" s="1" t="s">
        <v>20</v>
      </c>
      <c r="M65" s="1" t="s">
        <v>31</v>
      </c>
      <c r="N65" s="1" t="s">
        <v>38</v>
      </c>
      <c r="O65" s="16" t="str">
        <f>_xlfn.XLOOKUP(G65,ProductMaster!$A$2:$A$23,ProductMaster!$C$2:$C$23,"Not Found")</f>
        <v>Home</v>
      </c>
      <c r="P65" t="str">
        <f t="shared" si="1"/>
        <v>Delivered</v>
      </c>
      <c r="Q65" s="16">
        <f t="shared" si="2"/>
        <v>4</v>
      </c>
      <c r="R65" s="16" t="str">
        <f t="shared" si="3"/>
        <v>Slow</v>
      </c>
      <c r="S65" s="16">
        <f t="shared" si="4"/>
        <v>695</v>
      </c>
      <c r="T65" t="str">
        <f>_xlfn.XLOOKUP(F65,CustomerMaster!$A$2:$A$50,CustomerMaster!$B$2:$B$50,"Not Found")</f>
        <v>Noah Wilson</v>
      </c>
    </row>
    <row r="66" spans="1:20" x14ac:dyDescent="0.35">
      <c r="A66" s="1" t="s">
        <v>304</v>
      </c>
      <c r="B66" s="4" t="s">
        <v>273</v>
      </c>
      <c r="C66" s="4" t="str">
        <f t="shared" si="0"/>
        <v>Oct</v>
      </c>
      <c r="D66" s="4"/>
      <c r="E66" s="4" t="s">
        <v>305</v>
      </c>
      <c r="F66" s="1" t="s">
        <v>56</v>
      </c>
      <c r="G66" s="1" t="s">
        <v>121</v>
      </c>
      <c r="H66" s="1" t="s">
        <v>35</v>
      </c>
      <c r="I66" s="2">
        <v>69</v>
      </c>
      <c r="J66" s="2">
        <v>3</v>
      </c>
      <c r="K66" s="12">
        <v>69</v>
      </c>
      <c r="L66" s="1" t="s">
        <v>44</v>
      </c>
      <c r="M66" s="1" t="s">
        <v>21</v>
      </c>
      <c r="N66" s="1" t="s">
        <v>52</v>
      </c>
      <c r="O66" s="16" t="str">
        <f>_xlfn.XLOOKUP(G66,ProductMaster!$A$2:$A$23,ProductMaster!$C$2:$C$23,"Not Found")</f>
        <v>Books</v>
      </c>
      <c r="P66" t="str">
        <f t="shared" si="1"/>
        <v>Cancelled</v>
      </c>
      <c r="Q66" s="16" t="str">
        <f t="shared" si="2"/>
        <v/>
      </c>
      <c r="R66" s="16" t="str">
        <f t="shared" si="3"/>
        <v>Not Delivered</v>
      </c>
      <c r="S66" s="16">
        <f t="shared" si="4"/>
        <v>0</v>
      </c>
      <c r="T66" t="str">
        <f>_xlfn.XLOOKUP(F66,CustomerMaster!$A$2:$A$50,CustomerMaster!$B$2:$B$50,"Not Found")</f>
        <v>Jackson Allen</v>
      </c>
    </row>
    <row r="67" spans="1:20" x14ac:dyDescent="0.35">
      <c r="A67" s="1" t="s">
        <v>307</v>
      </c>
      <c r="B67" s="4" t="s">
        <v>308</v>
      </c>
      <c r="C67" s="4" t="str">
        <f t="shared" ref="C67:C101" si="5">TEXT(B67,"mmm")</f>
        <v>May</v>
      </c>
      <c r="D67" s="4"/>
      <c r="E67" s="4" t="s">
        <v>309</v>
      </c>
      <c r="F67" s="1" t="s">
        <v>56</v>
      </c>
      <c r="G67" s="1" t="s">
        <v>77</v>
      </c>
      <c r="H67" s="1" t="s">
        <v>72</v>
      </c>
      <c r="I67" s="2">
        <v>42</v>
      </c>
      <c r="J67" s="2">
        <v>1</v>
      </c>
      <c r="K67" s="12">
        <v>42</v>
      </c>
      <c r="L67" s="1" t="s">
        <v>20</v>
      </c>
      <c r="M67" s="1" t="s">
        <v>21</v>
      </c>
      <c r="N67" s="1" t="s">
        <v>22</v>
      </c>
      <c r="O67" s="16" t="str">
        <f>_xlfn.XLOOKUP(G67,ProductMaster!$A$2:$A$23,ProductMaster!$C$2:$C$23,"Not Found")</f>
        <v>Fashion</v>
      </c>
      <c r="P67" t="str">
        <f t="shared" ref="P67:P101" si="6">IF(M67="Cancelled","Cancelled",IF(M67="delivered","Delivered","Active"))</f>
        <v>Cancelled</v>
      </c>
      <c r="Q67" s="16" t="str">
        <f t="shared" ref="Q67:Q101" si="7">IF(M67="delivered",D67-B67,"")</f>
        <v/>
      </c>
      <c r="R67" s="16" t="str">
        <f t="shared" ref="R67:R101" si="8">IF(M67="Delivered",IF(D67-B67&lt;=2,"Fast","Slow"),"Not Delivered")</f>
        <v>Not Delivered</v>
      </c>
      <c r="S67" s="16">
        <f t="shared" ref="S67:S101" si="9">IF(M67="delivered",K67,0)</f>
        <v>0</v>
      </c>
      <c r="T67" t="str">
        <f>_xlfn.XLOOKUP(F67,CustomerMaster!$A$2:$A$50,CustomerMaster!$B$2:$B$50,"Not Found")</f>
        <v>Jackson Allen</v>
      </c>
    </row>
    <row r="68" spans="1:20" x14ac:dyDescent="0.35">
      <c r="A68" s="1" t="s">
        <v>311</v>
      </c>
      <c r="B68" s="4" t="s">
        <v>312</v>
      </c>
      <c r="C68" s="4" t="str">
        <f t="shared" si="5"/>
        <v>Jul</v>
      </c>
      <c r="D68" s="4" t="s">
        <v>313</v>
      </c>
      <c r="E68" s="4"/>
      <c r="F68" s="1" t="s">
        <v>314</v>
      </c>
      <c r="G68" s="1" t="s">
        <v>206</v>
      </c>
      <c r="H68" s="1" t="s">
        <v>18</v>
      </c>
      <c r="I68" s="2">
        <v>31</v>
      </c>
      <c r="J68" s="2">
        <v>4</v>
      </c>
      <c r="K68" s="12">
        <v>124</v>
      </c>
      <c r="L68" s="1" t="s">
        <v>30</v>
      </c>
      <c r="M68" s="1" t="s">
        <v>31</v>
      </c>
      <c r="N68" s="1" t="s">
        <v>45</v>
      </c>
      <c r="O68" s="16" t="str">
        <f>_xlfn.XLOOKUP(G68,ProductMaster!$A$2:$A$23,ProductMaster!$C$2:$C$23,"Not Found")</f>
        <v>Toys</v>
      </c>
      <c r="P68" t="str">
        <f t="shared" si="6"/>
        <v>Delivered</v>
      </c>
      <c r="Q68" s="16">
        <f t="shared" si="7"/>
        <v>2</v>
      </c>
      <c r="R68" s="16" t="str">
        <f t="shared" si="8"/>
        <v>Fast</v>
      </c>
      <c r="S68" s="16">
        <f t="shared" si="9"/>
        <v>124</v>
      </c>
      <c r="T68" t="str">
        <f>_xlfn.XLOOKUP(F68,CustomerMaster!$A$2:$A$50,CustomerMaster!$B$2:$B$50,"Not Found")</f>
        <v>Not Found</v>
      </c>
    </row>
    <row r="69" spans="1:20" x14ac:dyDescent="0.35">
      <c r="A69" s="1" t="s">
        <v>316</v>
      </c>
      <c r="B69" s="4" t="s">
        <v>230</v>
      </c>
      <c r="C69" s="4" t="str">
        <f t="shared" si="5"/>
        <v>Dec</v>
      </c>
      <c r="D69" s="4"/>
      <c r="E69" s="4"/>
      <c r="F69" s="1" t="s">
        <v>91</v>
      </c>
      <c r="G69" s="1" t="s">
        <v>63</v>
      </c>
      <c r="H69" s="1" t="s">
        <v>72</v>
      </c>
      <c r="I69" s="2">
        <v>104</v>
      </c>
      <c r="J69" s="2">
        <v>3</v>
      </c>
      <c r="K69" s="12">
        <v>312</v>
      </c>
      <c r="L69" s="1" t="s">
        <v>30</v>
      </c>
      <c r="M69" s="1" t="s">
        <v>37</v>
      </c>
      <c r="N69" s="1" t="s">
        <v>45</v>
      </c>
      <c r="O69" s="16" t="str">
        <f>_xlfn.XLOOKUP(G69,ProductMaster!$A$2:$A$23,ProductMaster!$C$2:$C$23,"Not Found")</f>
        <v>Electronics</v>
      </c>
      <c r="P69" t="str">
        <f t="shared" si="6"/>
        <v>Active</v>
      </c>
      <c r="Q69" s="16" t="str">
        <f t="shared" si="7"/>
        <v/>
      </c>
      <c r="R69" s="16" t="str">
        <f t="shared" si="8"/>
        <v>Not Delivered</v>
      </c>
      <c r="S69" s="16">
        <f t="shared" si="9"/>
        <v>0</v>
      </c>
      <c r="T69" t="str">
        <f>_xlfn.XLOOKUP(F69,CustomerMaster!$A$2:$A$50,CustomerMaster!$B$2:$B$50,"Not Found")</f>
        <v>Emily Johnson</v>
      </c>
    </row>
    <row r="70" spans="1:20" x14ac:dyDescent="0.35">
      <c r="A70" s="1" t="s">
        <v>318</v>
      </c>
      <c r="B70" s="4" t="s">
        <v>319</v>
      </c>
      <c r="C70" s="4" t="str">
        <f t="shared" si="5"/>
        <v>Jul</v>
      </c>
      <c r="D70" s="4"/>
      <c r="E70" s="4" t="s">
        <v>320</v>
      </c>
      <c r="F70" s="1" t="s">
        <v>42</v>
      </c>
      <c r="G70" s="1" t="s">
        <v>50</v>
      </c>
      <c r="H70" s="1" t="s">
        <v>28</v>
      </c>
      <c r="I70" s="2">
        <v>58</v>
      </c>
      <c r="J70" s="2">
        <v>2</v>
      </c>
      <c r="K70" s="12">
        <v>58</v>
      </c>
      <c r="L70" s="1" t="s">
        <v>20</v>
      </c>
      <c r="M70" s="1" t="s">
        <v>21</v>
      </c>
      <c r="N70" s="1" t="s">
        <v>38</v>
      </c>
      <c r="O70" s="16" t="str">
        <f>_xlfn.XLOOKUP(G70,ProductMaster!$A$2:$A$23,ProductMaster!$C$2:$C$23,"Not Found")</f>
        <v>Fashion</v>
      </c>
      <c r="P70" t="str">
        <f t="shared" si="6"/>
        <v>Cancelled</v>
      </c>
      <c r="Q70" s="16" t="str">
        <f t="shared" si="7"/>
        <v/>
      </c>
      <c r="R70" s="16" t="str">
        <f t="shared" si="8"/>
        <v>Not Delivered</v>
      </c>
      <c r="S70" s="16">
        <f t="shared" si="9"/>
        <v>0</v>
      </c>
      <c r="T70" t="str">
        <f>_xlfn.XLOOKUP(F70,CustomerMaster!$A$2:$A$50,CustomerMaster!$B$2:$B$50,"Not Found")</f>
        <v>Grace Ward</v>
      </c>
    </row>
    <row r="71" spans="1:20" x14ac:dyDescent="0.35">
      <c r="A71" s="1" t="s">
        <v>322</v>
      </c>
      <c r="B71" s="4" t="s">
        <v>162</v>
      </c>
      <c r="C71" s="4" t="str">
        <f t="shared" si="5"/>
        <v>Oct</v>
      </c>
      <c r="D71" s="4"/>
      <c r="E71" s="4" t="s">
        <v>166</v>
      </c>
      <c r="F71" s="1" t="s">
        <v>56</v>
      </c>
      <c r="G71" s="1" t="s">
        <v>215</v>
      </c>
      <c r="H71" s="1" t="s">
        <v>72</v>
      </c>
      <c r="I71" s="2">
        <v>62</v>
      </c>
      <c r="J71" s="2">
        <v>2</v>
      </c>
      <c r="K71" s="12">
        <v>62</v>
      </c>
      <c r="L71" s="1" t="s">
        <v>66</v>
      </c>
      <c r="M71" s="1" t="s">
        <v>21</v>
      </c>
      <c r="N71" s="1" t="s">
        <v>22</v>
      </c>
      <c r="O71" s="16" t="str">
        <f>_xlfn.XLOOKUP(G71,ProductMaster!$A$2:$A$23,ProductMaster!$C$2:$C$23,"Not Found")</f>
        <v>Toys</v>
      </c>
      <c r="P71" t="str">
        <f t="shared" si="6"/>
        <v>Cancelled</v>
      </c>
      <c r="Q71" s="16" t="str">
        <f t="shared" si="7"/>
        <v/>
      </c>
      <c r="R71" s="16" t="str">
        <f t="shared" si="8"/>
        <v>Not Delivered</v>
      </c>
      <c r="S71" s="16">
        <f t="shared" si="9"/>
        <v>0</v>
      </c>
      <c r="T71" t="str">
        <f>_xlfn.XLOOKUP(F71,CustomerMaster!$A$2:$A$50,CustomerMaster!$B$2:$B$50,"Not Found")</f>
        <v>Jackson Allen</v>
      </c>
    </row>
    <row r="72" spans="1:20" x14ac:dyDescent="0.35">
      <c r="A72" s="1" t="s">
        <v>323</v>
      </c>
      <c r="B72" s="4" t="s">
        <v>230</v>
      </c>
      <c r="C72" s="4" t="str">
        <f t="shared" si="5"/>
        <v>Dec</v>
      </c>
      <c r="D72" s="4" t="s">
        <v>213</v>
      </c>
      <c r="E72" s="4"/>
      <c r="F72" s="1" t="s">
        <v>214</v>
      </c>
      <c r="G72" s="1" t="s">
        <v>77</v>
      </c>
      <c r="H72" s="1" t="s">
        <v>28</v>
      </c>
      <c r="I72" s="2">
        <v>43</v>
      </c>
      <c r="J72" s="2">
        <v>1</v>
      </c>
      <c r="K72" s="12">
        <v>43</v>
      </c>
      <c r="L72" s="1" t="s">
        <v>30</v>
      </c>
      <c r="M72" s="1" t="s">
        <v>31</v>
      </c>
      <c r="N72" s="1" t="s">
        <v>52</v>
      </c>
      <c r="O72" s="16" t="str">
        <f>_xlfn.XLOOKUP(G72,ProductMaster!$A$2:$A$23,ProductMaster!$C$2:$C$23,"Not Found")</f>
        <v>Fashion</v>
      </c>
      <c r="P72" t="str">
        <f t="shared" si="6"/>
        <v>Delivered</v>
      </c>
      <c r="Q72" s="16">
        <f t="shared" si="7"/>
        <v>7</v>
      </c>
      <c r="R72" s="16" t="str">
        <f t="shared" si="8"/>
        <v>Slow</v>
      </c>
      <c r="S72" s="16">
        <f t="shared" si="9"/>
        <v>43</v>
      </c>
      <c r="T72" t="str">
        <f>_xlfn.XLOOKUP(F72,CustomerMaster!$A$2:$A$50,CustomerMaster!$B$2:$B$50,"Not Found")</f>
        <v>Ava Robinson</v>
      </c>
    </row>
    <row r="73" spans="1:20" x14ac:dyDescent="0.35">
      <c r="A73" s="1" t="s">
        <v>324</v>
      </c>
      <c r="B73" s="4" t="s">
        <v>325</v>
      </c>
      <c r="C73" s="4" t="str">
        <f t="shared" si="5"/>
        <v>Mar</v>
      </c>
      <c r="D73" s="4"/>
      <c r="E73" s="4"/>
      <c r="F73" s="1" t="s">
        <v>296</v>
      </c>
      <c r="G73" s="1" t="s">
        <v>215</v>
      </c>
      <c r="H73" s="1" t="s">
        <v>28</v>
      </c>
      <c r="I73" s="2">
        <v>62</v>
      </c>
      <c r="J73" s="2">
        <v>4</v>
      </c>
      <c r="K73" s="12">
        <v>248</v>
      </c>
      <c r="L73" s="1" t="s">
        <v>66</v>
      </c>
      <c r="M73" s="1" t="s">
        <v>37</v>
      </c>
      <c r="N73" s="1" t="s">
        <v>52</v>
      </c>
      <c r="O73" s="16" t="str">
        <f>_xlfn.XLOOKUP(G73,ProductMaster!$A$2:$A$23,ProductMaster!$C$2:$C$23,"Not Found")</f>
        <v>Toys</v>
      </c>
      <c r="P73" t="str">
        <f t="shared" si="6"/>
        <v>Active</v>
      </c>
      <c r="Q73" s="16" t="str">
        <f t="shared" si="7"/>
        <v/>
      </c>
      <c r="R73" s="16" t="str">
        <f t="shared" si="8"/>
        <v>Not Delivered</v>
      </c>
      <c r="S73" s="16">
        <f t="shared" si="9"/>
        <v>0</v>
      </c>
      <c r="T73" t="str">
        <f>_xlfn.XLOOKUP(F73,CustomerMaster!$A$2:$A$50,CustomerMaster!$B$2:$B$50,"Not Found")</f>
        <v>Elijah Lewis</v>
      </c>
    </row>
    <row r="74" spans="1:20" x14ac:dyDescent="0.35">
      <c r="A74" s="1" t="s">
        <v>326</v>
      </c>
      <c r="B74" s="4" t="s">
        <v>327</v>
      </c>
      <c r="C74" s="4" t="str">
        <f t="shared" si="5"/>
        <v>Jul</v>
      </c>
      <c r="D74" s="4"/>
      <c r="E74" s="4" t="s">
        <v>90</v>
      </c>
      <c r="F74" s="1" t="s">
        <v>144</v>
      </c>
      <c r="G74" s="1" t="s">
        <v>98</v>
      </c>
      <c r="H74" s="1" t="s">
        <v>18</v>
      </c>
      <c r="I74" s="2">
        <v>95</v>
      </c>
      <c r="J74" s="2">
        <v>2</v>
      </c>
      <c r="K74" s="12">
        <v>95</v>
      </c>
      <c r="L74" s="1" t="s">
        <v>44</v>
      </c>
      <c r="M74" s="1" t="s">
        <v>21</v>
      </c>
      <c r="N74" s="1" t="s">
        <v>45</v>
      </c>
      <c r="O74" s="16" t="str">
        <f>_xlfn.XLOOKUP(G74,ProductMaster!$A$2:$A$23,ProductMaster!$C$2:$C$23,"Not Found")</f>
        <v>Fashion</v>
      </c>
      <c r="P74" t="str">
        <f t="shared" si="6"/>
        <v>Cancelled</v>
      </c>
      <c r="Q74" s="16" t="str">
        <f t="shared" si="7"/>
        <v/>
      </c>
      <c r="R74" s="16" t="str">
        <f t="shared" si="8"/>
        <v>Not Delivered</v>
      </c>
      <c r="S74" s="16">
        <f t="shared" si="9"/>
        <v>0</v>
      </c>
      <c r="T74" t="str">
        <f>_xlfn.XLOOKUP(F74,CustomerMaster!$A$2:$A$50,CustomerMaster!$B$2:$B$50,"Not Found")</f>
        <v>Lily Bennett</v>
      </c>
    </row>
    <row r="75" spans="1:20" x14ac:dyDescent="0.35">
      <c r="A75" s="1" t="s">
        <v>329</v>
      </c>
      <c r="B75" s="4" t="s">
        <v>330</v>
      </c>
      <c r="C75" s="4" t="str">
        <f t="shared" si="5"/>
        <v>Jan</v>
      </c>
      <c r="D75" s="4" t="s">
        <v>331</v>
      </c>
      <c r="E75" s="4"/>
      <c r="F75" s="1" t="s">
        <v>140</v>
      </c>
      <c r="G75" s="1" t="s">
        <v>71</v>
      </c>
      <c r="H75" s="1" t="s">
        <v>64</v>
      </c>
      <c r="I75" s="2">
        <v>36</v>
      </c>
      <c r="J75" s="2">
        <v>4</v>
      </c>
      <c r="K75" s="12">
        <v>144</v>
      </c>
      <c r="L75" s="1" t="s">
        <v>20</v>
      </c>
      <c r="M75" s="1" t="s">
        <v>31</v>
      </c>
      <c r="N75" s="1" t="s">
        <v>93</v>
      </c>
      <c r="O75" s="16" t="str">
        <f>_xlfn.XLOOKUP(G75,ProductMaster!$A$2:$A$23,ProductMaster!$C$2:$C$23,"Not Found")</f>
        <v>Home</v>
      </c>
      <c r="P75" t="str">
        <f t="shared" si="6"/>
        <v>Delivered</v>
      </c>
      <c r="Q75" s="16">
        <f t="shared" si="7"/>
        <v>6</v>
      </c>
      <c r="R75" s="16" t="str">
        <f t="shared" si="8"/>
        <v>Slow</v>
      </c>
      <c r="S75" s="16">
        <f t="shared" si="9"/>
        <v>144</v>
      </c>
      <c r="T75" t="str">
        <f>_xlfn.XLOOKUP(F75,CustomerMaster!$A$2:$A$50,CustomerMaster!$B$2:$B$50,"Not Found")</f>
        <v>Elijah Lewis</v>
      </c>
    </row>
    <row r="76" spans="1:20" x14ac:dyDescent="0.35">
      <c r="A76" s="1" t="s">
        <v>332</v>
      </c>
      <c r="B76" s="4" t="s">
        <v>333</v>
      </c>
      <c r="C76" s="4" t="str">
        <f t="shared" si="5"/>
        <v>May</v>
      </c>
      <c r="D76" s="4"/>
      <c r="E76" s="4"/>
      <c r="F76" s="1" t="s">
        <v>62</v>
      </c>
      <c r="G76" s="1" t="s">
        <v>102</v>
      </c>
      <c r="H76" s="1" t="s">
        <v>28</v>
      </c>
      <c r="I76" s="2">
        <v>73</v>
      </c>
      <c r="J76" s="2">
        <v>5</v>
      </c>
      <c r="K76" s="12">
        <v>365</v>
      </c>
      <c r="L76" s="1" t="s">
        <v>20</v>
      </c>
      <c r="M76" s="1" t="s">
        <v>37</v>
      </c>
      <c r="N76" s="1" t="s">
        <v>22</v>
      </c>
      <c r="O76" s="16" t="str">
        <f>_xlfn.XLOOKUP(G76,ProductMaster!$A$2:$A$23,ProductMaster!$C$2:$C$23,"Not Found")</f>
        <v>Electronics</v>
      </c>
      <c r="P76" t="str">
        <f t="shared" si="6"/>
        <v>Active</v>
      </c>
      <c r="Q76" s="16" t="str">
        <f t="shared" si="7"/>
        <v/>
      </c>
      <c r="R76" s="16" t="str">
        <f t="shared" si="8"/>
        <v>Not Delivered</v>
      </c>
      <c r="S76" s="16">
        <f t="shared" si="9"/>
        <v>0</v>
      </c>
      <c r="T76" t="str">
        <f>_xlfn.XLOOKUP(F76,CustomerMaster!$A$2:$A$50,CustomerMaster!$B$2:$B$50,"Not Found")</f>
        <v>Noah Wilson</v>
      </c>
    </row>
    <row r="77" spans="1:20" x14ac:dyDescent="0.35">
      <c r="A77" s="1" t="s">
        <v>334</v>
      </c>
      <c r="B77" s="4" t="s">
        <v>335</v>
      </c>
      <c r="C77" s="4" t="str">
        <f t="shared" si="5"/>
        <v>Sep</v>
      </c>
      <c r="D77" s="4" t="s">
        <v>336</v>
      </c>
      <c r="E77" s="4"/>
      <c r="F77" s="1" t="s">
        <v>97</v>
      </c>
      <c r="G77" s="1" t="s">
        <v>77</v>
      </c>
      <c r="H77" s="1" t="s">
        <v>18</v>
      </c>
      <c r="I77" s="2">
        <v>43</v>
      </c>
      <c r="J77" s="2">
        <v>4</v>
      </c>
      <c r="K77" s="12">
        <v>172</v>
      </c>
      <c r="L77" s="1" t="s">
        <v>66</v>
      </c>
      <c r="M77" s="1" t="s">
        <v>31</v>
      </c>
      <c r="N77" s="1" t="s">
        <v>22</v>
      </c>
      <c r="O77" s="16" t="str">
        <f>_xlfn.XLOOKUP(G77,ProductMaster!$A$2:$A$23,ProductMaster!$C$2:$C$23,"Not Found")</f>
        <v>Fashion</v>
      </c>
      <c r="P77" t="str">
        <f t="shared" si="6"/>
        <v>Delivered</v>
      </c>
      <c r="Q77" s="16">
        <f t="shared" si="7"/>
        <v>6</v>
      </c>
      <c r="R77" s="16" t="str">
        <f t="shared" si="8"/>
        <v>Slow</v>
      </c>
      <c r="S77" s="16">
        <f t="shared" si="9"/>
        <v>172</v>
      </c>
      <c r="T77" t="str">
        <f>_xlfn.XLOOKUP(F77,CustomerMaster!$A$2:$A$50,CustomerMaster!$B$2:$B$50,"Not Found")</f>
        <v>Charlotte Reed</v>
      </c>
    </row>
    <row r="78" spans="1:20" x14ac:dyDescent="0.35">
      <c r="A78" s="1" t="s">
        <v>337</v>
      </c>
      <c r="B78" s="4" t="s">
        <v>55</v>
      </c>
      <c r="C78" s="4" t="str">
        <f t="shared" si="5"/>
        <v>Nov</v>
      </c>
      <c r="D78" s="4" t="s">
        <v>338</v>
      </c>
      <c r="E78" s="4"/>
      <c r="F78" s="1" t="s">
        <v>300</v>
      </c>
      <c r="G78" s="1" t="s">
        <v>197</v>
      </c>
      <c r="H78" s="1" t="s">
        <v>72</v>
      </c>
      <c r="I78" s="2">
        <v>214</v>
      </c>
      <c r="J78" s="2">
        <v>5</v>
      </c>
      <c r="K78" s="12">
        <v>1070</v>
      </c>
      <c r="L78" s="1" t="s">
        <v>66</v>
      </c>
      <c r="M78" s="1" t="s">
        <v>31</v>
      </c>
      <c r="N78" s="1" t="s">
        <v>45</v>
      </c>
      <c r="O78" s="16" t="str">
        <f>_xlfn.XLOOKUP(G78,ProductMaster!$A$2:$A$23,ProductMaster!$C$2:$C$23,"Not Found")</f>
        <v>Home</v>
      </c>
      <c r="P78" t="str">
        <f t="shared" si="6"/>
        <v>Delivered</v>
      </c>
      <c r="Q78" s="16">
        <f t="shared" si="7"/>
        <v>2</v>
      </c>
      <c r="R78" s="16" t="str">
        <f t="shared" si="8"/>
        <v>Fast</v>
      </c>
      <c r="S78" s="16">
        <f t="shared" si="9"/>
        <v>1070</v>
      </c>
      <c r="T78" t="str">
        <f>_xlfn.XLOOKUP(F78,CustomerMaster!$A$2:$A$50,CustomerMaster!$B$2:$B$50,"Not Found")</f>
        <v>Noah Wilson</v>
      </c>
    </row>
    <row r="79" spans="1:20" x14ac:dyDescent="0.35">
      <c r="A79" s="1" t="s">
        <v>340</v>
      </c>
      <c r="B79" s="4" t="s">
        <v>341</v>
      </c>
      <c r="C79" s="4" t="str">
        <f t="shared" si="5"/>
        <v>Dec</v>
      </c>
      <c r="D79" s="4"/>
      <c r="E79" s="4" t="s">
        <v>342</v>
      </c>
      <c r="F79" s="1" t="s">
        <v>302</v>
      </c>
      <c r="G79" s="1" t="s">
        <v>150</v>
      </c>
      <c r="H79" s="1" t="s">
        <v>64</v>
      </c>
      <c r="I79" s="2">
        <v>42</v>
      </c>
      <c r="J79" s="2">
        <v>2</v>
      </c>
      <c r="K79" s="12">
        <v>42</v>
      </c>
      <c r="L79" s="1" t="s">
        <v>20</v>
      </c>
      <c r="M79" s="1" t="s">
        <v>21</v>
      </c>
      <c r="N79" s="1" t="s">
        <v>45</v>
      </c>
      <c r="O79" s="16" t="str">
        <f>_xlfn.XLOOKUP(G79,ProductMaster!$A$2:$A$23,ProductMaster!$C$2:$C$23,"Not Found")</f>
        <v>Toys</v>
      </c>
      <c r="P79" t="str">
        <f t="shared" si="6"/>
        <v>Cancelled</v>
      </c>
      <c r="Q79" s="16" t="str">
        <f t="shared" si="7"/>
        <v/>
      </c>
      <c r="R79" s="16" t="str">
        <f t="shared" si="8"/>
        <v>Not Delivered</v>
      </c>
      <c r="S79" s="16">
        <f t="shared" si="9"/>
        <v>0</v>
      </c>
      <c r="T79" t="str">
        <f>_xlfn.XLOOKUP(F79,CustomerMaster!$A$2:$A$50,CustomerMaster!$B$2:$B$50,"Not Found")</f>
        <v>Noah Wilson</v>
      </c>
    </row>
    <row r="80" spans="1:20" x14ac:dyDescent="0.35">
      <c r="A80" s="1" t="s">
        <v>343</v>
      </c>
      <c r="B80" s="4" t="s">
        <v>68</v>
      </c>
      <c r="C80" s="4" t="str">
        <f t="shared" si="5"/>
        <v>Apr</v>
      </c>
      <c r="D80" s="4"/>
      <c r="E80" s="4"/>
      <c r="F80" s="1" t="s">
        <v>302</v>
      </c>
      <c r="G80" s="1" t="s">
        <v>17</v>
      </c>
      <c r="H80" s="1" t="s">
        <v>18</v>
      </c>
      <c r="I80" s="2">
        <v>46</v>
      </c>
      <c r="J80" s="2">
        <v>1</v>
      </c>
      <c r="K80" s="12">
        <v>46</v>
      </c>
      <c r="L80" s="1" t="s">
        <v>58</v>
      </c>
      <c r="M80" s="1" t="s">
        <v>37</v>
      </c>
      <c r="N80" s="1" t="s">
        <v>45</v>
      </c>
      <c r="O80" s="16" t="str">
        <f>_xlfn.XLOOKUP(G80,ProductMaster!$A$2:$A$23,ProductMaster!$C$2:$C$23,"Not Found")</f>
        <v>Home</v>
      </c>
      <c r="P80" t="str">
        <f t="shared" si="6"/>
        <v>Active</v>
      </c>
      <c r="Q80" s="16" t="str">
        <f t="shared" si="7"/>
        <v/>
      </c>
      <c r="R80" s="16" t="str">
        <f t="shared" si="8"/>
        <v>Not Delivered</v>
      </c>
      <c r="S80" s="16">
        <f t="shared" si="9"/>
        <v>0</v>
      </c>
      <c r="T80" t="str">
        <f>_xlfn.XLOOKUP(F80,CustomerMaster!$A$2:$A$50,CustomerMaster!$B$2:$B$50,"Not Found")</f>
        <v>Noah Wilson</v>
      </c>
    </row>
    <row r="81" spans="1:20" x14ac:dyDescent="0.35">
      <c r="A81" s="1" t="s">
        <v>345</v>
      </c>
      <c r="B81" s="4" t="s">
        <v>346</v>
      </c>
      <c r="C81" s="4" t="str">
        <f t="shared" si="5"/>
        <v>Oct</v>
      </c>
      <c r="D81" s="4" t="s">
        <v>247</v>
      </c>
      <c r="E81" s="4"/>
      <c r="F81" s="1" t="s">
        <v>192</v>
      </c>
      <c r="G81" s="1" t="s">
        <v>27</v>
      </c>
      <c r="H81" s="1" t="s">
        <v>28</v>
      </c>
      <c r="I81" s="2">
        <v>95</v>
      </c>
      <c r="J81" s="2">
        <v>4</v>
      </c>
      <c r="K81" s="12">
        <v>380</v>
      </c>
      <c r="L81" s="1" t="s">
        <v>30</v>
      </c>
      <c r="M81" s="1" t="s">
        <v>31</v>
      </c>
      <c r="N81" s="1" t="s">
        <v>45</v>
      </c>
      <c r="O81" s="16" t="str">
        <f>_xlfn.XLOOKUP(G81,ProductMaster!$A$2:$A$23,ProductMaster!$C$2:$C$23,"Not Found")</f>
        <v>Toys</v>
      </c>
      <c r="P81" t="str">
        <f t="shared" si="6"/>
        <v>Delivered</v>
      </c>
      <c r="Q81" s="16">
        <f t="shared" si="7"/>
        <v>3</v>
      </c>
      <c r="R81" s="16" t="str">
        <f t="shared" si="8"/>
        <v>Slow</v>
      </c>
      <c r="S81" s="16">
        <f t="shared" si="9"/>
        <v>380</v>
      </c>
      <c r="T81" t="str">
        <f>_xlfn.XLOOKUP(F81,CustomerMaster!$A$2:$A$50,CustomerMaster!$B$2:$B$50,"Not Found")</f>
        <v>Luke Gray</v>
      </c>
    </row>
    <row r="82" spans="1:20" x14ac:dyDescent="0.35">
      <c r="A82" s="1" t="s">
        <v>348</v>
      </c>
      <c r="B82" s="4" t="s">
        <v>143</v>
      </c>
      <c r="C82" s="4" t="str">
        <f t="shared" si="5"/>
        <v>Nov</v>
      </c>
      <c r="D82" s="4"/>
      <c r="E82" s="4"/>
      <c r="F82" s="1" t="s">
        <v>220</v>
      </c>
      <c r="G82" s="1" t="s">
        <v>193</v>
      </c>
      <c r="H82" s="1" t="s">
        <v>72</v>
      </c>
      <c r="I82" s="2">
        <v>174</v>
      </c>
      <c r="J82" s="2">
        <v>2</v>
      </c>
      <c r="K82" s="12">
        <v>348</v>
      </c>
      <c r="L82" s="1" t="s">
        <v>44</v>
      </c>
      <c r="M82" s="1" t="s">
        <v>37</v>
      </c>
      <c r="N82" s="1" t="s">
        <v>45</v>
      </c>
      <c r="O82" s="16" t="str">
        <f>_xlfn.XLOOKUP(G82,ProductMaster!$A$2:$A$23,ProductMaster!$C$2:$C$23,"Not Found")</f>
        <v>Electronics</v>
      </c>
      <c r="P82" t="str">
        <f t="shared" si="6"/>
        <v>Active</v>
      </c>
      <c r="Q82" s="16" t="str">
        <f t="shared" si="7"/>
        <v/>
      </c>
      <c r="R82" s="16" t="str">
        <f t="shared" si="8"/>
        <v>Not Delivered</v>
      </c>
      <c r="S82" s="16">
        <f t="shared" si="9"/>
        <v>0</v>
      </c>
      <c r="T82" t="str">
        <f>_xlfn.XLOOKUP(F82,CustomerMaster!$A$2:$A$50,CustomerMaster!$B$2:$B$50,"Not Found")</f>
        <v>James Miller</v>
      </c>
    </row>
    <row r="83" spans="1:20" x14ac:dyDescent="0.35">
      <c r="A83" s="1" t="s">
        <v>350</v>
      </c>
      <c r="B83" s="4" t="s">
        <v>177</v>
      </c>
      <c r="C83" s="4" t="str">
        <f t="shared" si="5"/>
        <v>Jun</v>
      </c>
      <c r="D83" s="4"/>
      <c r="E83" s="4" t="s">
        <v>351</v>
      </c>
      <c r="F83" s="1" t="s">
        <v>86</v>
      </c>
      <c r="G83" s="1" t="s">
        <v>107</v>
      </c>
      <c r="H83" s="1" t="s">
        <v>18</v>
      </c>
      <c r="I83" s="2">
        <v>27</v>
      </c>
      <c r="J83" s="2">
        <v>5</v>
      </c>
      <c r="K83" s="12">
        <v>27</v>
      </c>
      <c r="L83" s="1" t="s">
        <v>30</v>
      </c>
      <c r="M83" s="1" t="s">
        <v>21</v>
      </c>
      <c r="N83" s="1" t="s">
        <v>52</v>
      </c>
      <c r="O83" s="16" t="str">
        <f>_xlfn.XLOOKUP(G83,ProductMaster!$A$2:$A$23,ProductMaster!$C$2:$C$23,"Not Found")</f>
        <v>Fashion</v>
      </c>
      <c r="P83" t="str">
        <f t="shared" si="6"/>
        <v>Cancelled</v>
      </c>
      <c r="Q83" s="16" t="str">
        <f t="shared" si="7"/>
        <v/>
      </c>
      <c r="R83" s="16" t="str">
        <f t="shared" si="8"/>
        <v>Not Delivered</v>
      </c>
      <c r="S83" s="16">
        <f t="shared" si="9"/>
        <v>0</v>
      </c>
      <c r="T83" t="str">
        <f>_xlfn.XLOOKUP(F83,CustomerMaster!$A$2:$A$50,CustomerMaster!$B$2:$B$50,"Not Found")</f>
        <v>Emily Johnson</v>
      </c>
    </row>
    <row r="84" spans="1:20" x14ac:dyDescent="0.35">
      <c r="A84" s="1" t="s">
        <v>353</v>
      </c>
      <c r="B84" s="4" t="s">
        <v>354</v>
      </c>
      <c r="C84" s="4" t="str">
        <f t="shared" si="5"/>
        <v>Oct</v>
      </c>
      <c r="D84" s="4" t="s">
        <v>355</v>
      </c>
      <c r="E84" s="4"/>
      <c r="F84" s="1" t="s">
        <v>16</v>
      </c>
      <c r="G84" s="1" t="s">
        <v>107</v>
      </c>
      <c r="H84" s="1" t="s">
        <v>35</v>
      </c>
      <c r="I84" s="2">
        <v>27</v>
      </c>
      <c r="J84" s="2">
        <v>4</v>
      </c>
      <c r="K84" s="12">
        <v>108</v>
      </c>
      <c r="L84" s="1" t="s">
        <v>44</v>
      </c>
      <c r="M84" s="1" t="s">
        <v>31</v>
      </c>
      <c r="N84" s="1" t="s">
        <v>38</v>
      </c>
      <c r="O84" s="16" t="str">
        <f>_xlfn.XLOOKUP(G84,ProductMaster!$A$2:$A$23,ProductMaster!$C$2:$C$23,"Not Found")</f>
        <v>Fashion</v>
      </c>
      <c r="P84" t="str">
        <f t="shared" si="6"/>
        <v>Delivered</v>
      </c>
      <c r="Q84" s="16">
        <f t="shared" si="7"/>
        <v>2</v>
      </c>
      <c r="R84" s="16" t="str">
        <f t="shared" si="8"/>
        <v>Fast</v>
      </c>
      <c r="S84" s="16">
        <f t="shared" si="9"/>
        <v>108</v>
      </c>
      <c r="T84" t="str">
        <f>_xlfn.XLOOKUP(F84,CustomerMaster!$A$2:$A$50,CustomerMaster!$B$2:$B$50,"Not Found")</f>
        <v>Zoe Mitchell</v>
      </c>
    </row>
    <row r="85" spans="1:20" x14ac:dyDescent="0.35">
      <c r="A85" s="1" t="s">
        <v>356</v>
      </c>
      <c r="B85" s="4" t="s">
        <v>190</v>
      </c>
      <c r="C85" s="4" t="str">
        <f t="shared" si="5"/>
        <v>Dec</v>
      </c>
      <c r="D85" s="4"/>
      <c r="E85" s="4"/>
      <c r="F85" s="1" t="s">
        <v>357</v>
      </c>
      <c r="G85" s="1" t="s">
        <v>155</v>
      </c>
      <c r="H85" s="1" t="s">
        <v>35</v>
      </c>
      <c r="I85" s="2">
        <v>65</v>
      </c>
      <c r="J85" s="2">
        <v>2</v>
      </c>
      <c r="K85" s="12">
        <v>130</v>
      </c>
      <c r="L85" s="1" t="s">
        <v>44</v>
      </c>
      <c r="M85" s="1" t="s">
        <v>37</v>
      </c>
      <c r="N85" s="1" t="s">
        <v>22</v>
      </c>
      <c r="O85" s="16" t="str">
        <f>_xlfn.XLOOKUP(G85,ProductMaster!$A$2:$A$23,ProductMaster!$C$2:$C$23,"Not Found")</f>
        <v>Fashion</v>
      </c>
      <c r="P85" t="str">
        <f t="shared" si="6"/>
        <v>Active</v>
      </c>
      <c r="Q85" s="16" t="str">
        <f t="shared" si="7"/>
        <v/>
      </c>
      <c r="R85" s="16" t="str">
        <f t="shared" si="8"/>
        <v>Not Delivered</v>
      </c>
      <c r="S85" s="16">
        <f t="shared" si="9"/>
        <v>0</v>
      </c>
      <c r="T85" t="str">
        <f>_xlfn.XLOOKUP(F85,CustomerMaster!$A$2:$A$50,CustomerMaster!$B$2:$B$50,"Not Found")</f>
        <v>Ava White</v>
      </c>
    </row>
    <row r="86" spans="1:20" x14ac:dyDescent="0.35">
      <c r="A86" s="1" t="s">
        <v>359</v>
      </c>
      <c r="B86" s="4" t="s">
        <v>325</v>
      </c>
      <c r="C86" s="4" t="str">
        <f t="shared" si="5"/>
        <v>Mar</v>
      </c>
      <c r="D86" s="4"/>
      <c r="E86" s="4"/>
      <c r="F86" s="1" t="s">
        <v>91</v>
      </c>
      <c r="G86" s="1" t="s">
        <v>77</v>
      </c>
      <c r="H86" s="1" t="s">
        <v>28</v>
      </c>
      <c r="I86" s="2">
        <v>43</v>
      </c>
      <c r="J86" s="2">
        <v>5</v>
      </c>
      <c r="K86" s="12">
        <v>215</v>
      </c>
      <c r="L86" s="1" t="s">
        <v>66</v>
      </c>
      <c r="M86" s="1" t="s">
        <v>37</v>
      </c>
      <c r="N86" s="1" t="s">
        <v>22</v>
      </c>
      <c r="O86" s="16" t="str">
        <f>_xlfn.XLOOKUP(G86,ProductMaster!$A$2:$A$23,ProductMaster!$C$2:$C$23,"Not Found")</f>
        <v>Fashion</v>
      </c>
      <c r="P86" t="str">
        <f t="shared" si="6"/>
        <v>Active</v>
      </c>
      <c r="Q86" s="16" t="str">
        <f t="shared" si="7"/>
        <v/>
      </c>
      <c r="R86" s="16" t="str">
        <f t="shared" si="8"/>
        <v>Not Delivered</v>
      </c>
      <c r="S86" s="16">
        <f t="shared" si="9"/>
        <v>0</v>
      </c>
      <c r="T86" t="str">
        <f>_xlfn.XLOOKUP(F86,CustomerMaster!$A$2:$A$50,CustomerMaster!$B$2:$B$50,"Not Found")</f>
        <v>Emily Johnson</v>
      </c>
    </row>
    <row r="87" spans="1:20" x14ac:dyDescent="0.35">
      <c r="A87" s="1" t="s">
        <v>361</v>
      </c>
      <c r="B87" s="4" t="s">
        <v>362</v>
      </c>
      <c r="C87" s="4" t="str">
        <f t="shared" si="5"/>
        <v>Nov</v>
      </c>
      <c r="D87" s="4"/>
      <c r="E87" s="4"/>
      <c r="F87" s="1" t="s">
        <v>167</v>
      </c>
      <c r="G87" s="1" t="s">
        <v>197</v>
      </c>
      <c r="H87" s="1" t="s">
        <v>72</v>
      </c>
      <c r="I87" s="2">
        <v>210</v>
      </c>
      <c r="J87" s="2">
        <v>1</v>
      </c>
      <c r="K87" s="12">
        <v>210</v>
      </c>
      <c r="L87" s="1" t="s">
        <v>44</v>
      </c>
      <c r="M87" s="1" t="s">
        <v>37</v>
      </c>
      <c r="N87" s="1" t="s">
        <v>45</v>
      </c>
      <c r="O87" s="16" t="str">
        <f>_xlfn.XLOOKUP(G87,ProductMaster!$A$2:$A$23,ProductMaster!$C$2:$C$23,"Not Found")</f>
        <v>Home</v>
      </c>
      <c r="P87" t="str">
        <f t="shared" si="6"/>
        <v>Active</v>
      </c>
      <c r="Q87" s="16" t="str">
        <f t="shared" si="7"/>
        <v/>
      </c>
      <c r="R87" s="16" t="str">
        <f t="shared" si="8"/>
        <v>Not Delivered</v>
      </c>
      <c r="S87" s="16">
        <f t="shared" si="9"/>
        <v>0</v>
      </c>
      <c r="T87" t="str">
        <f>_xlfn.XLOOKUP(F87,CustomerMaster!$A$2:$A$50,CustomerMaster!$B$2:$B$50,"Not Found")</f>
        <v>Liam Walker</v>
      </c>
    </row>
    <row r="88" spans="1:20" x14ac:dyDescent="0.35">
      <c r="A88" s="1" t="s">
        <v>363</v>
      </c>
      <c r="B88" s="4" t="s">
        <v>294</v>
      </c>
      <c r="C88" s="4" t="str">
        <f t="shared" si="5"/>
        <v>Nov</v>
      </c>
      <c r="D88" s="4"/>
      <c r="E88" s="4"/>
      <c r="F88" s="1" t="s">
        <v>364</v>
      </c>
      <c r="G88" s="1" t="s">
        <v>71</v>
      </c>
      <c r="H88" s="1" t="s">
        <v>35</v>
      </c>
      <c r="I88" s="2">
        <v>37</v>
      </c>
      <c r="J88" s="2">
        <v>3</v>
      </c>
      <c r="K88" s="12">
        <v>111</v>
      </c>
      <c r="L88" s="1" t="s">
        <v>30</v>
      </c>
      <c r="M88" s="1" t="s">
        <v>37</v>
      </c>
      <c r="N88" s="1" t="s">
        <v>45</v>
      </c>
      <c r="O88" s="16" t="str">
        <f>_xlfn.XLOOKUP(G88,ProductMaster!$A$2:$A$23,ProductMaster!$C$2:$C$23,"Not Found")</f>
        <v>Home</v>
      </c>
      <c r="P88" t="str">
        <f t="shared" si="6"/>
        <v>Active</v>
      </c>
      <c r="Q88" s="16" t="str">
        <f t="shared" si="7"/>
        <v/>
      </c>
      <c r="R88" s="16" t="str">
        <f t="shared" si="8"/>
        <v>Not Delivered</v>
      </c>
      <c r="S88" s="16">
        <f t="shared" si="9"/>
        <v>0</v>
      </c>
      <c r="T88" t="str">
        <f>_xlfn.XLOOKUP(F88,CustomerMaster!$A$2:$A$50,CustomerMaster!$B$2:$B$50,"Not Found")</f>
        <v>Lily Reed</v>
      </c>
    </row>
    <row r="89" spans="1:20" x14ac:dyDescent="0.35">
      <c r="A89" s="1" t="s">
        <v>365</v>
      </c>
      <c r="B89" s="4" t="s">
        <v>85</v>
      </c>
      <c r="C89" s="4" t="str">
        <f t="shared" si="5"/>
        <v>May</v>
      </c>
      <c r="D89" s="4"/>
      <c r="E89" s="4"/>
      <c r="F89" s="1" t="s">
        <v>167</v>
      </c>
      <c r="G89" s="1" t="s">
        <v>130</v>
      </c>
      <c r="H89" s="1" t="s">
        <v>35</v>
      </c>
      <c r="I89" s="2">
        <v>788</v>
      </c>
      <c r="J89" s="2">
        <v>4</v>
      </c>
      <c r="K89" s="12">
        <v>3152</v>
      </c>
      <c r="L89" s="1" t="s">
        <v>66</v>
      </c>
      <c r="M89" s="1" t="s">
        <v>37</v>
      </c>
      <c r="N89" s="1" t="s">
        <v>52</v>
      </c>
      <c r="O89" s="16" t="str">
        <f>_xlfn.XLOOKUP(G89,ProductMaster!$A$2:$A$23,ProductMaster!$C$2:$C$23,"Not Found")</f>
        <v>Electronics</v>
      </c>
      <c r="P89" t="str">
        <f t="shared" si="6"/>
        <v>Active</v>
      </c>
      <c r="Q89" s="16" t="str">
        <f t="shared" si="7"/>
        <v/>
      </c>
      <c r="R89" s="16" t="str">
        <f t="shared" si="8"/>
        <v>Not Delivered</v>
      </c>
      <c r="S89" s="16">
        <f t="shared" si="9"/>
        <v>0</v>
      </c>
      <c r="T89" t="str">
        <f>_xlfn.XLOOKUP(F89,CustomerMaster!$A$2:$A$50,CustomerMaster!$B$2:$B$50,"Not Found")</f>
        <v>Liam Walker</v>
      </c>
    </row>
    <row r="90" spans="1:20" x14ac:dyDescent="0.35">
      <c r="A90" s="1" t="s">
        <v>367</v>
      </c>
      <c r="B90" s="4" t="s">
        <v>368</v>
      </c>
      <c r="C90" s="4" t="str">
        <f t="shared" si="5"/>
        <v>Jul</v>
      </c>
      <c r="D90" s="4"/>
      <c r="E90" s="4"/>
      <c r="F90" s="1" t="s">
        <v>167</v>
      </c>
      <c r="G90" s="1" t="s">
        <v>197</v>
      </c>
      <c r="H90" s="1" t="s">
        <v>72</v>
      </c>
      <c r="I90" s="2">
        <v>217</v>
      </c>
      <c r="J90" s="2">
        <v>5</v>
      </c>
      <c r="K90" s="12">
        <v>1085</v>
      </c>
      <c r="L90" s="1" t="s">
        <v>66</v>
      </c>
      <c r="M90" s="1" t="s">
        <v>37</v>
      </c>
      <c r="N90" s="1" t="s">
        <v>93</v>
      </c>
      <c r="O90" s="16" t="str">
        <f>_xlfn.XLOOKUP(G90,ProductMaster!$A$2:$A$23,ProductMaster!$C$2:$C$23,"Not Found")</f>
        <v>Home</v>
      </c>
      <c r="P90" t="str">
        <f t="shared" si="6"/>
        <v>Active</v>
      </c>
      <c r="Q90" s="16" t="str">
        <f t="shared" si="7"/>
        <v/>
      </c>
      <c r="R90" s="16" t="str">
        <f t="shared" si="8"/>
        <v>Not Delivered</v>
      </c>
      <c r="S90" s="16">
        <f t="shared" si="9"/>
        <v>0</v>
      </c>
      <c r="T90" t="str">
        <f>_xlfn.XLOOKUP(F90,CustomerMaster!$A$2:$A$50,CustomerMaster!$B$2:$B$50,"Not Found")</f>
        <v>Liam Walker</v>
      </c>
    </row>
    <row r="91" spans="1:20" x14ac:dyDescent="0.35">
      <c r="A91" s="1" t="s">
        <v>370</v>
      </c>
      <c r="B91" s="4" t="s">
        <v>330</v>
      </c>
      <c r="C91" s="4" t="str">
        <f t="shared" si="5"/>
        <v>Jan</v>
      </c>
      <c r="D91" s="4"/>
      <c r="E91" s="4"/>
      <c r="F91" s="1" t="s">
        <v>167</v>
      </c>
      <c r="G91" s="1" t="s">
        <v>81</v>
      </c>
      <c r="H91" s="1" t="s">
        <v>72</v>
      </c>
      <c r="I91" s="2">
        <v>138</v>
      </c>
      <c r="J91" s="2">
        <v>4</v>
      </c>
      <c r="K91" s="12">
        <v>552</v>
      </c>
      <c r="L91" s="1" t="s">
        <v>30</v>
      </c>
      <c r="M91" s="1" t="s">
        <v>37</v>
      </c>
      <c r="N91" s="1" t="s">
        <v>93</v>
      </c>
      <c r="O91" s="16" t="str">
        <f>_xlfn.XLOOKUP(G91,ProductMaster!$A$2:$A$23,ProductMaster!$C$2:$C$23,"Not Found")</f>
        <v>Home</v>
      </c>
      <c r="P91" t="str">
        <f t="shared" si="6"/>
        <v>Active</v>
      </c>
      <c r="Q91" s="16" t="str">
        <f t="shared" si="7"/>
        <v/>
      </c>
      <c r="R91" s="16" t="str">
        <f t="shared" si="8"/>
        <v>Not Delivered</v>
      </c>
      <c r="S91" s="16">
        <f t="shared" si="9"/>
        <v>0</v>
      </c>
      <c r="T91" t="str">
        <f>_xlfn.XLOOKUP(F91,CustomerMaster!$A$2:$A$50,CustomerMaster!$B$2:$B$50,"Not Found")</f>
        <v>Liam Walker</v>
      </c>
    </row>
    <row r="92" spans="1:20" x14ac:dyDescent="0.35">
      <c r="A92" s="1" t="s">
        <v>372</v>
      </c>
      <c r="B92" s="4" t="s">
        <v>373</v>
      </c>
      <c r="C92" s="4" t="str">
        <f t="shared" si="5"/>
        <v>Jun</v>
      </c>
      <c r="D92" s="4" t="s">
        <v>374</v>
      </c>
      <c r="E92" s="4"/>
      <c r="F92" s="1" t="s">
        <v>375</v>
      </c>
      <c r="G92" s="1" t="s">
        <v>130</v>
      </c>
      <c r="H92" s="1" t="s">
        <v>64</v>
      </c>
      <c r="I92" s="2">
        <v>803</v>
      </c>
      <c r="J92" s="2">
        <v>2</v>
      </c>
      <c r="K92" s="12">
        <v>1606</v>
      </c>
      <c r="L92" s="1" t="s">
        <v>20</v>
      </c>
      <c r="M92" s="1" t="s">
        <v>31</v>
      </c>
      <c r="N92" s="1" t="s">
        <v>93</v>
      </c>
      <c r="O92" s="16" t="str">
        <f>_xlfn.XLOOKUP(G92,ProductMaster!$A$2:$A$23,ProductMaster!$C$2:$C$23,"Not Found")</f>
        <v>Electronics</v>
      </c>
      <c r="P92" t="str">
        <f t="shared" si="6"/>
        <v>Delivered</v>
      </c>
      <c r="Q92" s="16">
        <f t="shared" si="7"/>
        <v>6</v>
      </c>
      <c r="R92" s="16" t="str">
        <f t="shared" si="8"/>
        <v>Slow</v>
      </c>
      <c r="S92" s="16">
        <f t="shared" si="9"/>
        <v>1606</v>
      </c>
      <c r="T92" t="str">
        <f>_xlfn.XLOOKUP(F92,CustomerMaster!$A$2:$A$50,CustomerMaster!$B$2:$B$50,"Not Found")</f>
        <v>Mason Collins</v>
      </c>
    </row>
    <row r="93" spans="1:20" x14ac:dyDescent="0.35">
      <c r="A93" s="1" t="s">
        <v>377</v>
      </c>
      <c r="B93" s="4" t="s">
        <v>378</v>
      </c>
      <c r="C93" s="4" t="str">
        <f t="shared" si="5"/>
        <v>Feb</v>
      </c>
      <c r="D93" s="4"/>
      <c r="E93" s="4" t="s">
        <v>95</v>
      </c>
      <c r="F93" s="1" t="s">
        <v>76</v>
      </c>
      <c r="G93" s="1" t="s">
        <v>87</v>
      </c>
      <c r="H93" s="1" t="s">
        <v>18</v>
      </c>
      <c r="I93" s="2">
        <v>248</v>
      </c>
      <c r="J93" s="2">
        <v>5</v>
      </c>
      <c r="K93" s="12">
        <v>248</v>
      </c>
      <c r="L93" s="1" t="s">
        <v>44</v>
      </c>
      <c r="M93" s="1" t="s">
        <v>21</v>
      </c>
      <c r="N93" s="1" t="s">
        <v>45</v>
      </c>
      <c r="O93" s="16" t="str">
        <f>_xlfn.XLOOKUP(G93,ProductMaster!$A$2:$A$23,ProductMaster!$C$2:$C$23,"Not Found")</f>
        <v>Electronics</v>
      </c>
      <c r="P93" t="str">
        <f t="shared" si="6"/>
        <v>Cancelled</v>
      </c>
      <c r="Q93" s="16" t="str">
        <f t="shared" si="7"/>
        <v/>
      </c>
      <c r="R93" s="16" t="str">
        <f t="shared" si="8"/>
        <v>Not Delivered</v>
      </c>
      <c r="S93" s="16">
        <f t="shared" si="9"/>
        <v>0</v>
      </c>
      <c r="T93" t="str">
        <f>_xlfn.XLOOKUP(F93,CustomerMaster!$A$2:$A$50,CustomerMaster!$B$2:$B$50,"Not Found")</f>
        <v>Olivia Martinez</v>
      </c>
    </row>
    <row r="94" spans="1:20" x14ac:dyDescent="0.35">
      <c r="A94" s="1" t="s">
        <v>380</v>
      </c>
      <c r="B94" s="4" t="s">
        <v>256</v>
      </c>
      <c r="C94" s="4" t="str">
        <f t="shared" si="5"/>
        <v>Feb</v>
      </c>
      <c r="D94" s="4" t="s">
        <v>378</v>
      </c>
      <c r="E94" s="4"/>
      <c r="F94" s="1" t="s">
        <v>381</v>
      </c>
      <c r="G94" s="1" t="s">
        <v>197</v>
      </c>
      <c r="H94" s="1" t="s">
        <v>28</v>
      </c>
      <c r="I94" s="2">
        <v>210</v>
      </c>
      <c r="J94" s="2">
        <v>3</v>
      </c>
      <c r="K94" s="12">
        <v>630</v>
      </c>
      <c r="L94" s="1" t="s">
        <v>20</v>
      </c>
      <c r="M94" s="1" t="s">
        <v>31</v>
      </c>
      <c r="N94" s="1" t="s">
        <v>22</v>
      </c>
      <c r="O94" s="16" t="str">
        <f>_xlfn.XLOOKUP(G94,ProductMaster!$A$2:$A$23,ProductMaster!$C$2:$C$23,"Not Found")</f>
        <v>Home</v>
      </c>
      <c r="P94" t="str">
        <f t="shared" si="6"/>
        <v>Delivered</v>
      </c>
      <c r="Q94" s="16">
        <f t="shared" si="7"/>
        <v>2</v>
      </c>
      <c r="R94" s="16" t="str">
        <f t="shared" si="8"/>
        <v>Fast</v>
      </c>
      <c r="S94" s="16">
        <f t="shared" si="9"/>
        <v>630</v>
      </c>
      <c r="T94" t="str">
        <f>_xlfn.XLOOKUP(F94,CustomerMaster!$A$2:$A$50,CustomerMaster!$B$2:$B$50,"Not Found")</f>
        <v>Ethan Davis</v>
      </c>
    </row>
    <row r="95" spans="1:20" x14ac:dyDescent="0.35">
      <c r="A95" s="1" t="s">
        <v>383</v>
      </c>
      <c r="B95" s="4" t="s">
        <v>384</v>
      </c>
      <c r="C95" s="4" t="str">
        <f t="shared" si="5"/>
        <v>Dec</v>
      </c>
      <c r="D95" s="4"/>
      <c r="E95" s="4" t="s">
        <v>385</v>
      </c>
      <c r="F95" s="1" t="s">
        <v>76</v>
      </c>
      <c r="G95" s="1" t="s">
        <v>215</v>
      </c>
      <c r="H95" s="1" t="s">
        <v>18</v>
      </c>
      <c r="I95" s="2">
        <v>62</v>
      </c>
      <c r="J95" s="2">
        <v>2</v>
      </c>
      <c r="K95" s="12">
        <v>62</v>
      </c>
      <c r="L95" s="1" t="s">
        <v>30</v>
      </c>
      <c r="M95" s="1" t="s">
        <v>21</v>
      </c>
      <c r="N95" s="1" t="s">
        <v>93</v>
      </c>
      <c r="O95" s="16" t="str">
        <f>_xlfn.XLOOKUP(G95,ProductMaster!$A$2:$A$23,ProductMaster!$C$2:$C$23,"Not Found")</f>
        <v>Toys</v>
      </c>
      <c r="P95" t="str">
        <f t="shared" si="6"/>
        <v>Cancelled</v>
      </c>
      <c r="Q95" s="16" t="str">
        <f t="shared" si="7"/>
        <v/>
      </c>
      <c r="R95" s="16" t="str">
        <f t="shared" si="8"/>
        <v>Not Delivered</v>
      </c>
      <c r="S95" s="16">
        <f t="shared" si="9"/>
        <v>0</v>
      </c>
      <c r="T95" t="str">
        <f>_xlfn.XLOOKUP(F95,CustomerMaster!$A$2:$A$50,CustomerMaster!$B$2:$B$50,"Not Found")</f>
        <v>Olivia Martinez</v>
      </c>
    </row>
    <row r="96" spans="1:20" x14ac:dyDescent="0.35">
      <c r="A96" s="1" t="s">
        <v>386</v>
      </c>
      <c r="B96" s="4" t="s">
        <v>387</v>
      </c>
      <c r="C96" s="4" t="str">
        <f t="shared" si="5"/>
        <v>Jun</v>
      </c>
      <c r="D96" s="4"/>
      <c r="E96" s="4" t="s">
        <v>388</v>
      </c>
      <c r="F96" s="1" t="s">
        <v>364</v>
      </c>
      <c r="G96" s="1" t="s">
        <v>180</v>
      </c>
      <c r="H96" s="1" t="s">
        <v>35</v>
      </c>
      <c r="I96" s="2">
        <v>11</v>
      </c>
      <c r="J96" s="2">
        <v>5</v>
      </c>
      <c r="K96" s="12">
        <v>11</v>
      </c>
      <c r="L96" s="1" t="s">
        <v>66</v>
      </c>
      <c r="M96" s="1" t="s">
        <v>21</v>
      </c>
      <c r="N96" s="1" t="s">
        <v>52</v>
      </c>
      <c r="O96" s="16" t="str">
        <f>_xlfn.XLOOKUP(G96,ProductMaster!$A$2:$A$23,ProductMaster!$C$2:$C$23,"Not Found")</f>
        <v>Books</v>
      </c>
      <c r="P96" t="str">
        <f t="shared" si="6"/>
        <v>Cancelled</v>
      </c>
      <c r="Q96" s="16" t="str">
        <f t="shared" si="7"/>
        <v/>
      </c>
      <c r="R96" s="16" t="str">
        <f t="shared" si="8"/>
        <v>Not Delivered</v>
      </c>
      <c r="S96" s="16">
        <f t="shared" si="9"/>
        <v>0</v>
      </c>
      <c r="T96" t="str">
        <f>_xlfn.XLOOKUP(F96,CustomerMaster!$A$2:$A$50,CustomerMaster!$B$2:$B$50,"Not Found")</f>
        <v>Lily Reed</v>
      </c>
    </row>
    <row r="97" spans="1:20" x14ac:dyDescent="0.35">
      <c r="A97" s="1" t="s">
        <v>389</v>
      </c>
      <c r="B97" s="4" t="s">
        <v>390</v>
      </c>
      <c r="C97" s="4" t="str">
        <f t="shared" si="5"/>
        <v>Jul</v>
      </c>
      <c r="D97" s="4" t="s">
        <v>391</v>
      </c>
      <c r="E97" s="4"/>
      <c r="F97" s="1" t="s">
        <v>274</v>
      </c>
      <c r="G97" s="1" t="s">
        <v>116</v>
      </c>
      <c r="H97" s="1" t="s">
        <v>18</v>
      </c>
      <c r="I97" s="2">
        <v>21</v>
      </c>
      <c r="J97" s="2">
        <v>2</v>
      </c>
      <c r="K97" s="12">
        <v>42</v>
      </c>
      <c r="L97" s="1" t="s">
        <v>58</v>
      </c>
      <c r="M97" s="1" t="s">
        <v>31</v>
      </c>
      <c r="N97" s="1" t="s">
        <v>45</v>
      </c>
      <c r="O97" s="16" t="str">
        <f>_xlfn.XLOOKUP(G97,ProductMaster!$A$2:$A$23,ProductMaster!$C$2:$C$23,"Not Found")</f>
        <v>Books</v>
      </c>
      <c r="P97" t="str">
        <f t="shared" si="6"/>
        <v>Delivered</v>
      </c>
      <c r="Q97" s="16">
        <f t="shared" si="7"/>
        <v>3</v>
      </c>
      <c r="R97" s="16" t="str">
        <f t="shared" si="8"/>
        <v>Slow</v>
      </c>
      <c r="S97" s="16">
        <f t="shared" si="9"/>
        <v>42</v>
      </c>
      <c r="T97" t="str">
        <f>_xlfn.XLOOKUP(F97,CustomerMaster!$A$2:$A$50,CustomerMaster!$B$2:$B$50,"Not Found")</f>
        <v>Emma King</v>
      </c>
    </row>
    <row r="98" spans="1:20" x14ac:dyDescent="0.35">
      <c r="A98" s="1" t="s">
        <v>392</v>
      </c>
      <c r="B98" s="4" t="s">
        <v>231</v>
      </c>
      <c r="C98" s="4" t="str">
        <f t="shared" si="5"/>
        <v>Dec</v>
      </c>
      <c r="D98" s="4" t="s">
        <v>191</v>
      </c>
      <c r="E98" s="4"/>
      <c r="F98" s="1" t="s">
        <v>97</v>
      </c>
      <c r="G98" s="1" t="s">
        <v>27</v>
      </c>
      <c r="H98" s="1" t="s">
        <v>72</v>
      </c>
      <c r="I98" s="2">
        <v>95</v>
      </c>
      <c r="J98" s="2">
        <v>5</v>
      </c>
      <c r="K98" s="12">
        <v>475</v>
      </c>
      <c r="L98" s="1" t="s">
        <v>58</v>
      </c>
      <c r="M98" s="1" t="s">
        <v>31</v>
      </c>
      <c r="N98" s="1" t="s">
        <v>52</v>
      </c>
      <c r="O98" s="16" t="str">
        <f>_xlfn.XLOOKUP(G98,ProductMaster!$A$2:$A$23,ProductMaster!$C$2:$C$23,"Not Found")</f>
        <v>Toys</v>
      </c>
      <c r="P98" t="str">
        <f t="shared" si="6"/>
        <v>Delivered</v>
      </c>
      <c r="Q98" s="16">
        <f t="shared" si="7"/>
        <v>3</v>
      </c>
      <c r="R98" s="16" t="str">
        <f t="shared" si="8"/>
        <v>Slow</v>
      </c>
      <c r="S98" s="16">
        <f t="shared" si="9"/>
        <v>475</v>
      </c>
      <c r="T98" t="str">
        <f>_xlfn.XLOOKUP(F98,CustomerMaster!$A$2:$A$50,CustomerMaster!$B$2:$B$50,"Not Found")</f>
        <v>Charlotte Reed</v>
      </c>
    </row>
    <row r="99" spans="1:20" x14ac:dyDescent="0.35">
      <c r="A99" s="1" t="s">
        <v>394</v>
      </c>
      <c r="B99" s="4" t="s">
        <v>395</v>
      </c>
      <c r="C99" s="4" t="str">
        <f t="shared" si="5"/>
        <v>Sep</v>
      </c>
      <c r="D99" s="4" t="s">
        <v>219</v>
      </c>
      <c r="E99" s="4"/>
      <c r="F99" s="1" t="s">
        <v>42</v>
      </c>
      <c r="G99" s="1" t="s">
        <v>197</v>
      </c>
      <c r="H99" s="1" t="s">
        <v>35</v>
      </c>
      <c r="I99" s="2">
        <v>215</v>
      </c>
      <c r="J99" s="2">
        <v>2</v>
      </c>
      <c r="K99" s="12">
        <v>430</v>
      </c>
      <c r="L99" s="1" t="s">
        <v>44</v>
      </c>
      <c r="M99" s="1" t="s">
        <v>31</v>
      </c>
      <c r="N99" s="1" t="s">
        <v>52</v>
      </c>
      <c r="O99" s="16" t="str">
        <f>_xlfn.XLOOKUP(G99,ProductMaster!$A$2:$A$23,ProductMaster!$C$2:$C$23,"Not Found")</f>
        <v>Home</v>
      </c>
      <c r="P99" t="str">
        <f t="shared" si="6"/>
        <v>Delivered</v>
      </c>
      <c r="Q99" s="16">
        <f t="shared" si="7"/>
        <v>5</v>
      </c>
      <c r="R99" s="16" t="str">
        <f t="shared" si="8"/>
        <v>Slow</v>
      </c>
      <c r="S99" s="16">
        <f t="shared" si="9"/>
        <v>430</v>
      </c>
      <c r="T99" t="str">
        <f>_xlfn.XLOOKUP(F99,CustomerMaster!$A$2:$A$50,CustomerMaster!$B$2:$B$50,"Not Found")</f>
        <v>Grace Ward</v>
      </c>
    </row>
    <row r="100" spans="1:20" x14ac:dyDescent="0.35">
      <c r="A100" s="1" t="s">
        <v>397</v>
      </c>
      <c r="B100" s="4" t="s">
        <v>330</v>
      </c>
      <c r="C100" s="4" t="str">
        <f t="shared" si="5"/>
        <v>Jan</v>
      </c>
      <c r="D100" s="4"/>
      <c r="E100" s="4" t="s">
        <v>331</v>
      </c>
      <c r="F100" s="1" t="s">
        <v>398</v>
      </c>
      <c r="G100" s="1" t="s">
        <v>77</v>
      </c>
      <c r="H100" s="1" t="s">
        <v>72</v>
      </c>
      <c r="I100" s="2">
        <v>43</v>
      </c>
      <c r="J100" s="2">
        <v>5</v>
      </c>
      <c r="K100" s="12">
        <v>43</v>
      </c>
      <c r="L100" s="1" t="s">
        <v>30</v>
      </c>
      <c r="M100" s="1" t="s">
        <v>21</v>
      </c>
      <c r="N100" s="1" t="s">
        <v>45</v>
      </c>
      <c r="O100" s="16" t="str">
        <f>_xlfn.XLOOKUP(G100,ProductMaster!$A$2:$A$23,ProductMaster!$C$2:$C$23,"Not Found")</f>
        <v>Fashion</v>
      </c>
      <c r="P100" t="str">
        <f t="shared" si="6"/>
        <v>Cancelled</v>
      </c>
      <c r="Q100" s="16" t="str">
        <f t="shared" si="7"/>
        <v/>
      </c>
      <c r="R100" s="16" t="str">
        <f t="shared" si="8"/>
        <v>Not Delivered</v>
      </c>
      <c r="S100" s="16">
        <f t="shared" si="9"/>
        <v>0</v>
      </c>
      <c r="T100" t="str">
        <f>_xlfn.XLOOKUP(F100,CustomerMaster!$A$2:$A$50,CustomerMaster!$B$2:$B$50,"Not Found")</f>
        <v>Lily Simmons</v>
      </c>
    </row>
    <row r="101" spans="1:20" x14ac:dyDescent="0.35">
      <c r="A101" s="1" t="s">
        <v>399</v>
      </c>
      <c r="B101" s="4" t="s">
        <v>400</v>
      </c>
      <c r="C101" s="4" t="str">
        <f t="shared" si="5"/>
        <v>Mar</v>
      </c>
      <c r="D101" s="4"/>
      <c r="E101" s="4"/>
      <c r="F101" s="1" t="s">
        <v>56</v>
      </c>
      <c r="G101" s="1" t="s">
        <v>150</v>
      </c>
      <c r="H101" s="1" t="s">
        <v>72</v>
      </c>
      <c r="I101" s="2">
        <v>42</v>
      </c>
      <c r="J101" s="2">
        <v>4</v>
      </c>
      <c r="K101" s="12">
        <v>168</v>
      </c>
      <c r="L101" s="1" t="s">
        <v>66</v>
      </c>
      <c r="M101" s="1" t="s">
        <v>37</v>
      </c>
      <c r="N101" s="1" t="s">
        <v>22</v>
      </c>
      <c r="O101" s="16" t="str">
        <f>_xlfn.XLOOKUP(G101,ProductMaster!$A$2:$A$23,ProductMaster!$C$2:$C$23,"Not Found")</f>
        <v>Toys</v>
      </c>
      <c r="P101" t="str">
        <f t="shared" si="6"/>
        <v>Active</v>
      </c>
      <c r="Q101" s="16" t="str">
        <f t="shared" si="7"/>
        <v/>
      </c>
      <c r="R101" s="16" t="str">
        <f t="shared" si="8"/>
        <v>Not Delivered</v>
      </c>
      <c r="S101" s="16">
        <f t="shared" si="9"/>
        <v>0</v>
      </c>
      <c r="T101" t="str">
        <f>_xlfn.XLOOKUP(F101,CustomerMaster!$A$2:$A$50,CustomerMaster!$B$2:$B$50,"Not Found")</f>
        <v>Jackson Allen</v>
      </c>
    </row>
  </sheetData>
  <autoFilter ref="A1:T101" xr:uid="{5E9F2D4F-6E8D-4EA1-AAD2-0B2ADED4F640}"/>
  <conditionalFormatting sqref="P2:P101">
    <cfRule type="expression" dxfId="0" priority="1">
      <formula>$P2="Cancelled"</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B7E80-00CB-49F2-9122-EE3CDAED7C6F}">
  <dimension ref="B3:M28"/>
  <sheetViews>
    <sheetView topLeftCell="B6" workbookViewId="0">
      <selection activeCell="I16" sqref="I16:J28"/>
    </sheetView>
  </sheetViews>
  <sheetFormatPr defaultRowHeight="14.5" x14ac:dyDescent="0.35"/>
  <cols>
    <col min="1" max="1" width="12.36328125" bestFit="1" customWidth="1"/>
    <col min="2" max="2" width="15" bestFit="1" customWidth="1"/>
    <col min="3" max="3" width="19.08984375" bestFit="1" customWidth="1"/>
    <col min="8" max="9" width="12.36328125" bestFit="1" customWidth="1"/>
    <col min="10" max="10" width="19.08984375" bestFit="1" customWidth="1"/>
    <col min="12" max="12" width="12.36328125" bestFit="1" customWidth="1"/>
    <col min="13" max="13" width="19.08984375" bestFit="1" customWidth="1"/>
  </cols>
  <sheetData>
    <row r="3" spans="2:13" x14ac:dyDescent="0.35">
      <c r="L3" s="14" t="s">
        <v>519</v>
      </c>
      <c r="M3" t="s">
        <v>529</v>
      </c>
    </row>
    <row r="4" spans="2:13" x14ac:dyDescent="0.35">
      <c r="B4" s="14" t="s">
        <v>519</v>
      </c>
      <c r="C4" t="s">
        <v>526</v>
      </c>
      <c r="H4" s="14" t="s">
        <v>519</v>
      </c>
      <c r="I4" t="s">
        <v>529</v>
      </c>
      <c r="L4" s="15" t="s">
        <v>64</v>
      </c>
      <c r="M4" s="53">
        <v>3010</v>
      </c>
    </row>
    <row r="5" spans="2:13" x14ac:dyDescent="0.35">
      <c r="B5" s="15" t="s">
        <v>21</v>
      </c>
      <c r="C5" s="53">
        <v>30</v>
      </c>
      <c r="H5" s="15" t="s">
        <v>425</v>
      </c>
      <c r="I5">
        <v>127</v>
      </c>
      <c r="L5" s="15" t="s">
        <v>28</v>
      </c>
      <c r="M5" s="53">
        <v>1842</v>
      </c>
    </row>
    <row r="6" spans="2:13" x14ac:dyDescent="0.35">
      <c r="B6" s="15" t="s">
        <v>31</v>
      </c>
      <c r="C6" s="53">
        <v>34</v>
      </c>
      <c r="H6" s="15" t="s">
        <v>407</v>
      </c>
      <c r="I6">
        <v>6126</v>
      </c>
      <c r="L6" s="15" t="s">
        <v>18</v>
      </c>
      <c r="M6" s="53">
        <v>4075</v>
      </c>
    </row>
    <row r="7" spans="2:13" x14ac:dyDescent="0.35">
      <c r="H7" s="15" t="s">
        <v>418</v>
      </c>
      <c r="I7">
        <v>1376</v>
      </c>
      <c r="L7" s="15" t="s">
        <v>35</v>
      </c>
      <c r="M7" s="53">
        <v>1063</v>
      </c>
    </row>
    <row r="8" spans="2:13" x14ac:dyDescent="0.35">
      <c r="H8" s="15" t="s">
        <v>413</v>
      </c>
      <c r="I8">
        <v>4203</v>
      </c>
      <c r="L8" s="15" t="s">
        <v>72</v>
      </c>
      <c r="M8" s="53">
        <v>3666</v>
      </c>
    </row>
    <row r="9" spans="2:13" x14ac:dyDescent="0.35">
      <c r="H9" s="15" t="s">
        <v>410</v>
      </c>
      <c r="I9">
        <v>1824</v>
      </c>
    </row>
    <row r="16" spans="2:13" x14ac:dyDescent="0.35">
      <c r="B16" s="14" t="s">
        <v>519</v>
      </c>
      <c r="C16" t="s">
        <v>529</v>
      </c>
      <c r="I16" s="14" t="s">
        <v>519</v>
      </c>
      <c r="J16" t="s">
        <v>529</v>
      </c>
    </row>
    <row r="17" spans="2:10" x14ac:dyDescent="0.35">
      <c r="B17" s="15" t="s">
        <v>52</v>
      </c>
      <c r="C17" s="53">
        <v>2234</v>
      </c>
      <c r="I17" s="15" t="s">
        <v>531</v>
      </c>
      <c r="J17" s="53">
        <v>0</v>
      </c>
    </row>
    <row r="18" spans="2:10" x14ac:dyDescent="0.35">
      <c r="B18" s="15" t="s">
        <v>22</v>
      </c>
      <c r="C18" s="53">
        <v>2365</v>
      </c>
      <c r="I18" s="15" t="s">
        <v>532</v>
      </c>
      <c r="J18" s="53">
        <v>0</v>
      </c>
    </row>
    <row r="19" spans="2:10" x14ac:dyDescent="0.35">
      <c r="B19" s="15" t="s">
        <v>93</v>
      </c>
      <c r="C19" s="53">
        <v>1934</v>
      </c>
      <c r="I19" s="15" t="s">
        <v>533</v>
      </c>
      <c r="J19" s="53">
        <v>2767</v>
      </c>
    </row>
    <row r="20" spans="2:10" x14ac:dyDescent="0.35">
      <c r="B20" s="15" t="s">
        <v>45</v>
      </c>
      <c r="C20" s="53">
        <v>2578</v>
      </c>
      <c r="I20" s="15" t="s">
        <v>534</v>
      </c>
      <c r="J20" s="53">
        <v>1298</v>
      </c>
    </row>
    <row r="21" spans="2:10" x14ac:dyDescent="0.35">
      <c r="B21" s="15" t="s">
        <v>38</v>
      </c>
      <c r="C21" s="53">
        <v>4545</v>
      </c>
      <c r="I21" s="15" t="s">
        <v>535</v>
      </c>
      <c r="J21" s="53">
        <v>192</v>
      </c>
    </row>
    <row r="22" spans="2:10" x14ac:dyDescent="0.35">
      <c r="I22" s="15" t="s">
        <v>536</v>
      </c>
      <c r="J22" s="53">
        <v>459</v>
      </c>
    </row>
    <row r="23" spans="2:10" x14ac:dyDescent="0.35">
      <c r="I23" s="15" t="s">
        <v>537</v>
      </c>
      <c r="J23" s="53">
        <v>1669</v>
      </c>
    </row>
    <row r="24" spans="2:10" x14ac:dyDescent="0.35">
      <c r="I24" s="15" t="s">
        <v>538</v>
      </c>
      <c r="J24" s="53">
        <v>0</v>
      </c>
    </row>
    <row r="25" spans="2:10" x14ac:dyDescent="0.35">
      <c r="I25" s="15" t="s">
        <v>539</v>
      </c>
      <c r="J25" s="53">
        <v>97</v>
      </c>
    </row>
    <row r="26" spans="2:10" x14ac:dyDescent="0.35">
      <c r="I26" s="15" t="s">
        <v>540</v>
      </c>
      <c r="J26" s="53">
        <v>4810</v>
      </c>
    </row>
    <row r="27" spans="2:10" x14ac:dyDescent="0.35">
      <c r="I27" s="15" t="s">
        <v>541</v>
      </c>
      <c r="J27" s="53">
        <v>1070</v>
      </c>
    </row>
    <row r="28" spans="2:10" x14ac:dyDescent="0.35">
      <c r="I28" s="15" t="s">
        <v>542</v>
      </c>
      <c r="J28" s="53">
        <v>1294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9F87-D6B4-405C-95B7-8F993E89D5E7}">
  <sheetPr>
    <tabColor theme="9" tint="0.79998168889431442"/>
  </sheetPr>
  <dimension ref="A1:BS82"/>
  <sheetViews>
    <sheetView workbookViewId="0">
      <selection activeCell="G15" sqref="G15"/>
    </sheetView>
  </sheetViews>
  <sheetFormatPr defaultRowHeight="14.5" x14ac:dyDescent="0.35"/>
  <cols>
    <col min="1" max="1" width="20.1796875" customWidth="1"/>
    <col min="2" max="2" width="21.1796875" customWidth="1"/>
    <col min="3" max="3" width="4.90625" style="19" customWidth="1"/>
    <col min="4" max="4" width="16.26953125" customWidth="1"/>
    <col min="5" max="5" width="21.6328125" bestFit="1" customWidth="1"/>
    <col min="6" max="6" width="9.453125" style="19" customWidth="1"/>
    <col min="7" max="9" width="15.26953125" style="19" bestFit="1" customWidth="1"/>
    <col min="10" max="10" width="8.7265625" style="19"/>
    <col min="11" max="11" width="21.08984375" style="19" customWidth="1"/>
    <col min="12" max="12" width="19.26953125" customWidth="1"/>
    <col min="13" max="13" width="19.08984375" bestFit="1" customWidth="1"/>
    <col min="14" max="14" width="15.26953125" bestFit="1" customWidth="1"/>
    <col min="15" max="15" width="9.81640625" bestFit="1" customWidth="1"/>
    <col min="16" max="16" width="7.26953125" customWidth="1"/>
    <col min="17" max="17" width="12.54296875" customWidth="1"/>
    <col min="18" max="18" width="12.90625" style="19" customWidth="1"/>
    <col min="19" max="19" width="10.7265625" style="19" bestFit="1" customWidth="1"/>
    <col min="26" max="71" width="8.7265625" style="19"/>
  </cols>
  <sheetData>
    <row r="1" spans="1:25" x14ac:dyDescent="0.35">
      <c r="A1" s="14" t="s">
        <v>10</v>
      </c>
      <c r="B1" t="s">
        <v>528</v>
      </c>
      <c r="L1" s="19"/>
      <c r="M1" s="19"/>
      <c r="N1" s="19"/>
      <c r="O1" s="19"/>
      <c r="P1" s="19"/>
      <c r="Q1" s="19"/>
      <c r="T1" s="19"/>
      <c r="U1" s="19"/>
      <c r="V1" s="19"/>
      <c r="W1" s="19"/>
      <c r="X1" s="19"/>
      <c r="Y1" s="19"/>
    </row>
    <row r="2" spans="1:25" s="19" customFormat="1" ht="21" customHeight="1" x14ac:dyDescent="0.35"/>
    <row r="3" spans="1:25" x14ac:dyDescent="0.35">
      <c r="A3" s="14" t="s">
        <v>519</v>
      </c>
      <c r="B3" t="s">
        <v>544</v>
      </c>
      <c r="D3" s="14" t="s">
        <v>519</v>
      </c>
      <c r="E3" t="s">
        <v>527</v>
      </c>
      <c r="K3" s="14" t="s">
        <v>529</v>
      </c>
      <c r="L3" s="14" t="s">
        <v>522</v>
      </c>
      <c r="T3" s="19"/>
      <c r="U3" s="19"/>
      <c r="V3" s="19"/>
      <c r="W3" s="19"/>
      <c r="X3" s="19"/>
      <c r="Y3" s="19"/>
    </row>
    <row r="4" spans="1:25" x14ac:dyDescent="0.35">
      <c r="A4" s="15" t="s">
        <v>64</v>
      </c>
      <c r="B4" s="13">
        <v>4656</v>
      </c>
      <c r="D4" s="15" t="s">
        <v>64</v>
      </c>
      <c r="E4" s="18">
        <v>4.2</v>
      </c>
      <c r="K4" s="14" t="s">
        <v>519</v>
      </c>
      <c r="L4" t="s">
        <v>425</v>
      </c>
      <c r="M4" t="s">
        <v>407</v>
      </c>
      <c r="N4" t="s">
        <v>418</v>
      </c>
      <c r="O4" t="s">
        <v>413</v>
      </c>
      <c r="P4" t="s">
        <v>410</v>
      </c>
      <c r="Q4" t="s">
        <v>520</v>
      </c>
      <c r="T4" s="19"/>
      <c r="U4" s="19"/>
      <c r="V4" s="19"/>
      <c r="W4" s="19"/>
      <c r="X4" s="19"/>
      <c r="Y4" s="19"/>
    </row>
    <row r="5" spans="1:25" x14ac:dyDescent="0.35">
      <c r="A5" s="20" t="s">
        <v>425</v>
      </c>
      <c r="B5" s="13">
        <v>84</v>
      </c>
      <c r="D5" s="15" t="s">
        <v>28</v>
      </c>
      <c r="E5" s="18">
        <v>4.25</v>
      </c>
      <c r="K5" s="15" t="s">
        <v>535</v>
      </c>
      <c r="L5">
        <v>22</v>
      </c>
      <c r="N5">
        <v>26</v>
      </c>
      <c r="O5">
        <v>144</v>
      </c>
      <c r="Q5">
        <v>192</v>
      </c>
      <c r="T5" s="19"/>
      <c r="U5" s="19"/>
      <c r="V5" s="19"/>
      <c r="W5" s="19"/>
      <c r="X5" s="19"/>
      <c r="Y5" s="19"/>
    </row>
    <row r="6" spans="1:25" x14ac:dyDescent="0.35">
      <c r="A6" s="20" t="s">
        <v>407</v>
      </c>
      <c r="B6" s="13">
        <v>2452</v>
      </c>
      <c r="D6" s="15" t="s">
        <v>18</v>
      </c>
      <c r="E6" s="18">
        <v>3.625</v>
      </c>
      <c r="K6" s="15" t="s">
        <v>534</v>
      </c>
      <c r="L6">
        <v>0</v>
      </c>
      <c r="M6">
        <v>0</v>
      </c>
      <c r="N6">
        <v>140</v>
      </c>
      <c r="O6">
        <v>774</v>
      </c>
      <c r="P6">
        <v>384</v>
      </c>
      <c r="Q6">
        <v>1298</v>
      </c>
      <c r="T6" s="19"/>
      <c r="U6" s="19"/>
      <c r="V6" s="19"/>
      <c r="W6" s="19"/>
      <c r="X6" s="19"/>
      <c r="Y6" s="19"/>
    </row>
    <row r="7" spans="1:25" x14ac:dyDescent="0.35">
      <c r="A7" s="20" t="s">
        <v>418</v>
      </c>
      <c r="B7" s="13">
        <v>210</v>
      </c>
      <c r="D7" s="15" t="s">
        <v>35</v>
      </c>
      <c r="E7" s="18">
        <v>3.3333333333333335</v>
      </c>
      <c r="K7" s="15" t="s">
        <v>538</v>
      </c>
      <c r="N7">
        <v>0</v>
      </c>
      <c r="P7">
        <v>0</v>
      </c>
      <c r="Q7">
        <v>0</v>
      </c>
      <c r="T7" s="19"/>
      <c r="U7" s="19"/>
      <c r="V7" s="19"/>
      <c r="W7" s="19"/>
      <c r="X7" s="19"/>
      <c r="Y7" s="19"/>
    </row>
    <row r="8" spans="1:25" x14ac:dyDescent="0.35">
      <c r="A8" s="20" t="s">
        <v>413</v>
      </c>
      <c r="B8" s="13">
        <v>1515</v>
      </c>
      <c r="D8" s="15" t="s">
        <v>72</v>
      </c>
      <c r="E8" s="18">
        <v>3.4285714285714284</v>
      </c>
      <c r="K8" s="15" t="s">
        <v>531</v>
      </c>
      <c r="M8">
        <v>0</v>
      </c>
      <c r="O8">
        <v>0</v>
      </c>
      <c r="Q8">
        <v>0</v>
      </c>
      <c r="T8" s="19"/>
      <c r="U8" s="19"/>
      <c r="V8" s="19"/>
      <c r="W8" s="19"/>
      <c r="X8" s="19"/>
      <c r="Y8" s="19"/>
    </row>
    <row r="9" spans="1:25" x14ac:dyDescent="0.35">
      <c r="A9" s="20" t="s">
        <v>410</v>
      </c>
      <c r="B9" s="13">
        <v>395</v>
      </c>
      <c r="D9" s="15" t="s">
        <v>520</v>
      </c>
      <c r="E9" s="18">
        <v>3.7647058823529411</v>
      </c>
      <c r="K9" s="15" t="s">
        <v>539</v>
      </c>
      <c r="L9">
        <v>0</v>
      </c>
      <c r="M9">
        <v>0</v>
      </c>
      <c r="N9">
        <v>54</v>
      </c>
      <c r="O9">
        <v>0</v>
      </c>
      <c r="P9">
        <v>43</v>
      </c>
      <c r="Q9">
        <v>97</v>
      </c>
      <c r="T9" s="19"/>
      <c r="U9" s="19"/>
      <c r="V9" s="19"/>
      <c r="W9" s="19"/>
      <c r="X9" s="19"/>
      <c r="Y9" s="19"/>
    </row>
    <row r="10" spans="1:25" x14ac:dyDescent="0.35">
      <c r="A10" s="15" t="s">
        <v>28</v>
      </c>
      <c r="B10" s="13">
        <v>3459</v>
      </c>
      <c r="D10" s="19"/>
      <c r="E10" s="19"/>
      <c r="K10" s="15" t="s">
        <v>537</v>
      </c>
      <c r="L10">
        <v>63</v>
      </c>
      <c r="M10">
        <v>1606</v>
      </c>
      <c r="N10">
        <v>0</v>
      </c>
      <c r="O10">
        <v>0</v>
      </c>
      <c r="Q10">
        <v>1669</v>
      </c>
      <c r="T10" s="19"/>
      <c r="U10" s="19"/>
      <c r="V10" s="19"/>
      <c r="W10" s="19"/>
      <c r="X10" s="19"/>
      <c r="Y10" s="19"/>
    </row>
    <row r="11" spans="1:25" x14ac:dyDescent="0.35">
      <c r="A11" s="20" t="s">
        <v>425</v>
      </c>
      <c r="B11" s="13">
        <v>350</v>
      </c>
      <c r="D11" s="19"/>
      <c r="E11" s="19"/>
      <c r="K11" s="15" t="s">
        <v>536</v>
      </c>
      <c r="L11">
        <v>42</v>
      </c>
      <c r="M11">
        <v>104</v>
      </c>
      <c r="N11">
        <v>0</v>
      </c>
      <c r="O11">
        <v>0</v>
      </c>
      <c r="P11">
        <v>313</v>
      </c>
      <c r="Q11">
        <v>459</v>
      </c>
      <c r="T11" s="19"/>
      <c r="U11" s="19"/>
      <c r="V11" s="19"/>
      <c r="W11" s="19"/>
      <c r="X11" s="19"/>
      <c r="Y11" s="19"/>
    </row>
    <row r="12" spans="1:25" x14ac:dyDescent="0.35">
      <c r="A12" s="20" t="s">
        <v>407</v>
      </c>
      <c r="B12" s="13">
        <v>365</v>
      </c>
      <c r="D12" s="19"/>
      <c r="E12" s="19"/>
      <c r="K12" s="15" t="s">
        <v>532</v>
      </c>
      <c r="M12">
        <v>0</v>
      </c>
      <c r="N12">
        <v>0</v>
      </c>
      <c r="P12">
        <v>0</v>
      </c>
      <c r="Q12">
        <v>0</v>
      </c>
      <c r="T12" s="19"/>
      <c r="U12" s="19"/>
      <c r="V12" s="19"/>
      <c r="W12" s="19"/>
      <c r="X12" s="19"/>
      <c r="Y12" s="19"/>
    </row>
    <row r="13" spans="1:25" x14ac:dyDescent="0.35">
      <c r="A13" s="20" t="s">
        <v>418</v>
      </c>
      <c r="B13" s="13">
        <v>653</v>
      </c>
      <c r="D13" s="14" t="s">
        <v>519</v>
      </c>
      <c r="E13" t="s">
        <v>526</v>
      </c>
      <c r="K13" s="15" t="s">
        <v>542</v>
      </c>
      <c r="L13">
        <v>0</v>
      </c>
      <c r="M13">
        <v>692</v>
      </c>
      <c r="N13">
        <v>172</v>
      </c>
      <c r="O13">
        <v>430</v>
      </c>
      <c r="Q13">
        <v>1294</v>
      </c>
      <c r="T13" s="19"/>
      <c r="U13" s="19"/>
      <c r="V13" s="19"/>
      <c r="W13" s="19"/>
      <c r="X13" s="19"/>
      <c r="Y13" s="19"/>
    </row>
    <row r="14" spans="1:25" x14ac:dyDescent="0.35">
      <c r="A14" s="20" t="s">
        <v>413</v>
      </c>
      <c r="B14" s="13">
        <v>667</v>
      </c>
      <c r="D14" s="15" t="s">
        <v>21</v>
      </c>
      <c r="E14">
        <v>30</v>
      </c>
      <c r="K14" s="15" t="s">
        <v>541</v>
      </c>
      <c r="L14">
        <v>0</v>
      </c>
      <c r="N14">
        <v>461</v>
      </c>
      <c r="O14">
        <v>0</v>
      </c>
      <c r="P14">
        <v>609</v>
      </c>
      <c r="Q14">
        <v>1070</v>
      </c>
      <c r="T14" s="19"/>
      <c r="U14" s="19"/>
      <c r="V14" s="19"/>
      <c r="W14" s="19"/>
      <c r="X14" s="19"/>
      <c r="Y14" s="19"/>
    </row>
    <row r="15" spans="1:25" x14ac:dyDescent="0.35">
      <c r="A15" s="20" t="s">
        <v>410</v>
      </c>
      <c r="B15" s="13">
        <v>1424</v>
      </c>
      <c r="D15" s="15" t="s">
        <v>31</v>
      </c>
      <c r="E15">
        <v>34</v>
      </c>
      <c r="K15" s="15" t="s">
        <v>540</v>
      </c>
      <c r="L15">
        <v>0</v>
      </c>
      <c r="M15">
        <v>3260</v>
      </c>
      <c r="N15">
        <v>480</v>
      </c>
      <c r="O15">
        <v>1070</v>
      </c>
      <c r="Q15">
        <v>4810</v>
      </c>
      <c r="T15" s="19"/>
      <c r="U15" s="19"/>
      <c r="V15" s="19"/>
      <c r="W15" s="19"/>
      <c r="X15" s="19"/>
      <c r="Y15" s="19"/>
    </row>
    <row r="16" spans="1:25" x14ac:dyDescent="0.35">
      <c r="A16" s="15" t="s">
        <v>18</v>
      </c>
      <c r="B16" s="13">
        <v>8051</v>
      </c>
      <c r="D16" s="15" t="s">
        <v>37</v>
      </c>
      <c r="E16">
        <v>36</v>
      </c>
      <c r="K16" s="15" t="s">
        <v>533</v>
      </c>
      <c r="M16">
        <v>464</v>
      </c>
      <c r="N16">
        <v>43</v>
      </c>
      <c r="O16">
        <v>1785</v>
      </c>
      <c r="P16">
        <v>475</v>
      </c>
      <c r="Q16">
        <v>2767</v>
      </c>
      <c r="T16" s="19"/>
      <c r="U16" s="19"/>
      <c r="V16" s="19"/>
      <c r="W16" s="19"/>
      <c r="X16" s="19"/>
      <c r="Y16" s="19"/>
    </row>
    <row r="17" spans="1:25" x14ac:dyDescent="0.35">
      <c r="A17" s="20" t="s">
        <v>425</v>
      </c>
      <c r="B17" s="13">
        <v>464</v>
      </c>
      <c r="D17" s="15" t="s">
        <v>520</v>
      </c>
      <c r="E17">
        <v>100</v>
      </c>
      <c r="K17" s="15" t="s">
        <v>520</v>
      </c>
      <c r="L17">
        <v>127</v>
      </c>
      <c r="M17">
        <v>6126</v>
      </c>
      <c r="N17">
        <v>1376</v>
      </c>
      <c r="O17">
        <v>4203</v>
      </c>
      <c r="P17">
        <v>1824</v>
      </c>
      <c r="Q17">
        <v>13656</v>
      </c>
      <c r="T17" s="19"/>
      <c r="U17" s="19"/>
      <c r="V17" s="19"/>
      <c r="W17" s="19"/>
      <c r="X17" s="19"/>
      <c r="Y17" s="19"/>
    </row>
    <row r="18" spans="1:25" x14ac:dyDescent="0.35">
      <c r="A18" s="20" t="s">
        <v>407</v>
      </c>
      <c r="B18" s="13">
        <v>5530</v>
      </c>
      <c r="D18" s="19"/>
      <c r="E18" s="19"/>
      <c r="L18" s="19"/>
      <c r="M18" s="19"/>
      <c r="N18" s="19"/>
      <c r="O18" s="19"/>
      <c r="P18" s="19"/>
      <c r="Q18" s="19"/>
      <c r="T18" s="19"/>
      <c r="U18" s="19"/>
      <c r="V18" s="19"/>
      <c r="W18" s="19"/>
      <c r="X18" s="19"/>
      <c r="Y18" s="19"/>
    </row>
    <row r="19" spans="1:25" x14ac:dyDescent="0.35">
      <c r="A19" s="20" t="s">
        <v>418</v>
      </c>
      <c r="B19" s="13">
        <v>411</v>
      </c>
      <c r="D19" s="19"/>
      <c r="E19" s="19"/>
      <c r="L19" s="19"/>
      <c r="M19" s="19"/>
      <c r="N19" s="19"/>
      <c r="O19" s="19"/>
      <c r="P19" s="19"/>
      <c r="Q19" s="19"/>
      <c r="T19" s="19"/>
      <c r="U19" s="19"/>
      <c r="V19" s="19"/>
      <c r="W19" s="19"/>
      <c r="X19" s="19"/>
      <c r="Y19" s="19"/>
    </row>
    <row r="20" spans="1:25" x14ac:dyDescent="0.35">
      <c r="A20" s="20" t="s">
        <v>413</v>
      </c>
      <c r="B20" s="13">
        <v>1154</v>
      </c>
      <c r="D20" s="19"/>
      <c r="E20" s="19"/>
      <c r="L20" s="19"/>
      <c r="M20" s="19"/>
      <c r="N20" s="19"/>
      <c r="O20" s="19"/>
      <c r="P20" s="19"/>
      <c r="Q20" s="19"/>
      <c r="T20" s="19"/>
      <c r="U20" s="19"/>
      <c r="V20" s="19"/>
      <c r="W20" s="19"/>
      <c r="X20" s="19"/>
      <c r="Y20" s="19"/>
    </row>
    <row r="21" spans="1:25" x14ac:dyDescent="0.35">
      <c r="A21" s="20" t="s">
        <v>410</v>
      </c>
      <c r="B21" s="13">
        <v>492</v>
      </c>
      <c r="D21" s="19"/>
      <c r="E21" s="19"/>
      <c r="L21" s="19"/>
      <c r="M21" s="19"/>
      <c r="N21" s="19"/>
      <c r="O21" s="19"/>
      <c r="P21" s="19"/>
      <c r="Q21" s="19"/>
      <c r="T21" s="19"/>
      <c r="U21" s="19"/>
      <c r="V21" s="19"/>
      <c r="W21" s="19"/>
      <c r="X21" s="19"/>
      <c r="Y21" s="19"/>
    </row>
    <row r="22" spans="1:25" x14ac:dyDescent="0.35">
      <c r="A22" s="15" t="s">
        <v>35</v>
      </c>
      <c r="B22" s="13">
        <v>7135</v>
      </c>
      <c r="D22" s="19"/>
      <c r="E22" s="19"/>
      <c r="L22" s="19"/>
      <c r="M22" s="19"/>
      <c r="N22" s="19"/>
      <c r="O22" s="19"/>
      <c r="P22" s="19"/>
      <c r="Q22" s="19"/>
      <c r="T22" s="19"/>
      <c r="U22" s="19"/>
      <c r="V22" s="19"/>
      <c r="W22" s="19"/>
      <c r="X22" s="19"/>
      <c r="Y22" s="19"/>
    </row>
    <row r="23" spans="1:25" x14ac:dyDescent="0.35">
      <c r="A23" s="15" t="s">
        <v>72</v>
      </c>
      <c r="B23" s="13">
        <v>7317</v>
      </c>
      <c r="D23" s="19"/>
      <c r="E23" s="19"/>
      <c r="L23" s="19"/>
      <c r="M23" s="19"/>
      <c r="N23" s="19"/>
      <c r="O23" s="19"/>
      <c r="P23" s="19"/>
      <c r="Q23" s="19"/>
      <c r="T23" s="19"/>
      <c r="U23" s="19"/>
      <c r="V23" s="19"/>
      <c r="W23" s="19"/>
      <c r="X23" s="19"/>
      <c r="Y23" s="19"/>
    </row>
    <row r="24" spans="1:25" x14ac:dyDescent="0.35">
      <c r="A24" s="15" t="s">
        <v>520</v>
      </c>
      <c r="B24" s="13">
        <v>30618</v>
      </c>
      <c r="D24" s="19"/>
      <c r="E24" s="19"/>
      <c r="L24" s="19"/>
      <c r="M24" s="19"/>
      <c r="N24" s="19"/>
      <c r="O24" s="19"/>
      <c r="P24" s="19"/>
      <c r="Q24" s="19"/>
      <c r="T24" s="19"/>
      <c r="U24" s="19"/>
      <c r="V24" s="19"/>
      <c r="W24" s="19"/>
      <c r="X24" s="19"/>
      <c r="Y24" s="19"/>
    </row>
    <row r="25" spans="1:25" s="19" customFormat="1" x14ac:dyDescent="0.35"/>
    <row r="26" spans="1:25" s="19" customFormat="1" x14ac:dyDescent="0.35"/>
    <row r="27" spans="1:25" s="19" customFormat="1" x14ac:dyDescent="0.35"/>
    <row r="28" spans="1:25" s="19" customFormat="1" x14ac:dyDescent="0.35"/>
    <row r="29" spans="1:25" s="19" customFormat="1" x14ac:dyDescent="0.35"/>
    <row r="30" spans="1:25" s="19" customFormat="1" x14ac:dyDescent="0.35"/>
    <row r="31" spans="1:25" s="19" customFormat="1" x14ac:dyDescent="0.35"/>
    <row r="32" spans="1:25" s="19" customFormat="1" x14ac:dyDescent="0.35"/>
    <row r="33" spans="12:23" s="19" customFormat="1" x14ac:dyDescent="0.35"/>
    <row r="34" spans="12:23" s="19" customFormat="1" x14ac:dyDescent="0.35"/>
    <row r="35" spans="12:23" s="19" customFormat="1" x14ac:dyDescent="0.35"/>
    <row r="36" spans="12:23" s="19" customFormat="1" x14ac:dyDescent="0.35"/>
    <row r="37" spans="12:23" s="19" customFormat="1" x14ac:dyDescent="0.35"/>
    <row r="38" spans="12:23" s="19" customFormat="1" x14ac:dyDescent="0.35"/>
    <row r="39" spans="12:23" s="19" customFormat="1" x14ac:dyDescent="0.35"/>
    <row r="40" spans="12:23" s="19" customFormat="1" x14ac:dyDescent="0.35"/>
    <row r="41" spans="12:23" s="19" customFormat="1" x14ac:dyDescent="0.35"/>
    <row r="42" spans="12:23" s="19" customFormat="1" x14ac:dyDescent="0.35"/>
    <row r="43" spans="12:23" s="19" customFormat="1" x14ac:dyDescent="0.35"/>
    <row r="44" spans="12:23" s="19" customFormat="1" x14ac:dyDescent="0.35"/>
    <row r="45" spans="12:23" s="19" customFormat="1" x14ac:dyDescent="0.35"/>
    <row r="46" spans="12:23" s="19" customFormat="1" x14ac:dyDescent="0.35"/>
    <row r="47" spans="12:23" s="19" customFormat="1" x14ac:dyDescent="0.35"/>
    <row r="48" spans="12:23" x14ac:dyDescent="0.35">
      <c r="L48" s="19"/>
      <c r="M48" s="19"/>
      <c r="N48" s="19"/>
      <c r="O48" s="19"/>
      <c r="P48" s="19"/>
      <c r="Q48" s="19"/>
      <c r="T48" s="19"/>
      <c r="U48" s="19"/>
      <c r="V48" s="19"/>
      <c r="W48" s="19"/>
    </row>
    <row r="49" spans="12:23" x14ac:dyDescent="0.35">
      <c r="L49" s="19"/>
      <c r="M49" s="19"/>
      <c r="N49" s="19"/>
      <c r="O49" s="19"/>
      <c r="P49" s="19"/>
      <c r="Q49" s="19"/>
      <c r="T49" s="19"/>
      <c r="U49" s="19"/>
      <c r="V49" s="19"/>
      <c r="W49" s="19"/>
    </row>
    <row r="50" spans="12:23" x14ac:dyDescent="0.35">
      <c r="L50" s="19"/>
      <c r="M50" s="19"/>
      <c r="N50" s="19"/>
      <c r="O50" s="19"/>
      <c r="P50" s="19"/>
      <c r="Q50" s="19"/>
      <c r="T50" s="19"/>
      <c r="U50" s="19"/>
      <c r="V50" s="19"/>
      <c r="W50" s="19"/>
    </row>
    <row r="51" spans="12:23" x14ac:dyDescent="0.35">
      <c r="L51" s="19"/>
      <c r="M51" s="19"/>
      <c r="N51" s="19"/>
      <c r="O51" s="19"/>
      <c r="P51" s="19"/>
      <c r="Q51" s="19"/>
      <c r="T51" s="19"/>
      <c r="U51" s="19"/>
      <c r="V51" s="19"/>
      <c r="W51" s="19"/>
    </row>
    <row r="52" spans="12:23" x14ac:dyDescent="0.35">
      <c r="L52" s="19"/>
      <c r="M52" s="19"/>
      <c r="N52" s="19"/>
      <c r="O52" s="19"/>
      <c r="P52" s="19"/>
      <c r="Q52" s="19"/>
      <c r="T52" s="19"/>
      <c r="U52" s="19"/>
      <c r="V52" s="19"/>
      <c r="W52" s="19"/>
    </row>
    <row r="53" spans="12:23" x14ac:dyDescent="0.35">
      <c r="L53" s="19"/>
      <c r="M53" s="19"/>
      <c r="N53" s="19"/>
      <c r="O53" s="19"/>
      <c r="P53" s="19"/>
      <c r="Q53" s="19"/>
      <c r="T53" s="19"/>
      <c r="U53" s="19"/>
      <c r="V53" s="19"/>
      <c r="W53" s="19"/>
    </row>
    <row r="54" spans="12:23" x14ac:dyDescent="0.35">
      <c r="L54" s="19"/>
      <c r="M54" s="19"/>
      <c r="N54" s="19"/>
      <c r="O54" s="19"/>
      <c r="P54" s="19"/>
      <c r="Q54" s="19"/>
      <c r="T54" s="19"/>
      <c r="U54" s="19"/>
      <c r="V54" s="19"/>
      <c r="W54" s="19"/>
    </row>
    <row r="55" spans="12:23" x14ac:dyDescent="0.35">
      <c r="L55" s="19"/>
      <c r="M55" s="19"/>
      <c r="N55" s="19"/>
      <c r="O55" s="19"/>
      <c r="P55" s="19"/>
      <c r="Q55" s="19"/>
      <c r="T55" s="19"/>
      <c r="U55" s="19"/>
      <c r="V55" s="19"/>
      <c r="W55" s="19"/>
    </row>
    <row r="56" spans="12:23" x14ac:dyDescent="0.35">
      <c r="L56" s="19"/>
      <c r="M56" s="19"/>
      <c r="N56" s="19"/>
      <c r="O56" s="19"/>
      <c r="P56" s="19"/>
      <c r="Q56" s="19"/>
      <c r="T56" s="19"/>
      <c r="U56" s="19"/>
      <c r="V56" s="19"/>
      <c r="W56" s="19"/>
    </row>
    <row r="57" spans="12:23" x14ac:dyDescent="0.35">
      <c r="L57" s="19"/>
      <c r="M57" s="19"/>
      <c r="N57" s="19"/>
      <c r="O57" s="19"/>
      <c r="P57" s="19"/>
      <c r="Q57" s="19"/>
      <c r="T57" s="19"/>
      <c r="U57" s="19"/>
      <c r="V57" s="19"/>
      <c r="W57" s="19"/>
    </row>
    <row r="58" spans="12:23" x14ac:dyDescent="0.35">
      <c r="L58" s="19"/>
      <c r="M58" s="19"/>
      <c r="N58" s="19"/>
      <c r="O58" s="19"/>
      <c r="P58" s="19"/>
      <c r="Q58" s="19"/>
      <c r="T58" s="19"/>
      <c r="U58" s="19"/>
      <c r="V58" s="19"/>
      <c r="W58" s="19"/>
    </row>
    <row r="59" spans="12:23" x14ac:dyDescent="0.35">
      <c r="L59" s="19"/>
      <c r="M59" s="19"/>
      <c r="N59" s="19"/>
      <c r="O59" s="19"/>
      <c r="P59" s="19"/>
      <c r="Q59" s="19"/>
      <c r="T59" s="19"/>
      <c r="U59" s="19"/>
      <c r="V59" s="19"/>
      <c r="W59" s="19"/>
    </row>
    <row r="60" spans="12:23" x14ac:dyDescent="0.35">
      <c r="L60" s="19"/>
      <c r="M60" s="19"/>
      <c r="N60" s="19"/>
      <c r="O60" s="19"/>
      <c r="P60" s="19"/>
      <c r="Q60" s="19"/>
      <c r="T60" s="19"/>
      <c r="U60" s="19"/>
      <c r="V60" s="19"/>
      <c r="W60" s="19"/>
    </row>
    <row r="61" spans="12:23" x14ac:dyDescent="0.35">
      <c r="L61" s="19"/>
      <c r="M61" s="19"/>
      <c r="N61" s="19"/>
      <c r="O61" s="19"/>
      <c r="P61" s="19"/>
      <c r="Q61" s="19"/>
      <c r="T61" s="19"/>
      <c r="U61" s="19"/>
      <c r="V61" s="19"/>
      <c r="W61" s="19"/>
    </row>
    <row r="62" spans="12:23" x14ac:dyDescent="0.35">
      <c r="L62" s="19"/>
      <c r="M62" s="19"/>
      <c r="N62" s="19"/>
      <c r="O62" s="19"/>
      <c r="P62" s="19"/>
      <c r="Q62" s="19"/>
      <c r="T62" s="19"/>
      <c r="U62" s="19"/>
      <c r="V62" s="19"/>
      <c r="W62" s="19"/>
    </row>
    <row r="63" spans="12:23" x14ac:dyDescent="0.35">
      <c r="L63" s="19"/>
      <c r="M63" s="19"/>
      <c r="N63" s="19"/>
      <c r="O63" s="19"/>
      <c r="P63" s="19"/>
      <c r="Q63" s="19"/>
      <c r="T63" s="19"/>
      <c r="U63" s="19"/>
      <c r="V63" s="19"/>
      <c r="W63" s="19"/>
    </row>
    <row r="64" spans="12:23" x14ac:dyDescent="0.35">
      <c r="L64" s="19"/>
      <c r="M64" s="19"/>
      <c r="N64" s="19"/>
      <c r="O64" s="19"/>
      <c r="P64" s="19"/>
      <c r="Q64" s="19"/>
      <c r="T64" s="19"/>
      <c r="U64" s="19"/>
      <c r="V64" s="19"/>
      <c r="W64" s="19"/>
    </row>
    <row r="65" spans="12:23" x14ac:dyDescent="0.35">
      <c r="L65" s="19"/>
      <c r="M65" s="19"/>
      <c r="N65" s="19"/>
      <c r="O65" s="19"/>
      <c r="P65" s="19"/>
      <c r="Q65" s="19"/>
      <c r="T65" s="19"/>
      <c r="U65" s="19"/>
      <c r="V65" s="19"/>
      <c r="W65" s="19"/>
    </row>
    <row r="66" spans="12:23" x14ac:dyDescent="0.35">
      <c r="L66" s="19"/>
      <c r="M66" s="19"/>
      <c r="N66" s="19"/>
      <c r="O66" s="19"/>
      <c r="P66" s="19"/>
      <c r="Q66" s="19"/>
      <c r="T66" s="19"/>
      <c r="U66" s="19"/>
      <c r="V66" s="19"/>
      <c r="W66" s="19"/>
    </row>
    <row r="67" spans="12:23" x14ac:dyDescent="0.35">
      <c r="L67" s="19"/>
      <c r="M67" s="19"/>
      <c r="N67" s="19"/>
      <c r="O67" s="19"/>
      <c r="P67" s="19"/>
      <c r="Q67" s="19"/>
      <c r="T67" s="19"/>
      <c r="U67" s="19"/>
      <c r="V67" s="19"/>
      <c r="W67" s="19"/>
    </row>
    <row r="68" spans="12:23" x14ac:dyDescent="0.35">
      <c r="L68" s="19"/>
      <c r="M68" s="19"/>
      <c r="N68" s="19"/>
      <c r="O68" s="19"/>
      <c r="P68" s="19"/>
      <c r="Q68" s="19"/>
      <c r="T68" s="19"/>
      <c r="U68" s="19"/>
      <c r="V68" s="19"/>
      <c r="W68" s="19"/>
    </row>
    <row r="69" spans="12:23" x14ac:dyDescent="0.35">
      <c r="L69" s="19"/>
      <c r="M69" s="19"/>
      <c r="N69" s="19"/>
      <c r="O69" s="19"/>
      <c r="P69" s="19"/>
      <c r="Q69" s="19"/>
      <c r="T69" s="19"/>
      <c r="U69" s="19"/>
      <c r="V69" s="19"/>
      <c r="W69" s="19"/>
    </row>
    <row r="70" spans="12:23" x14ac:dyDescent="0.35">
      <c r="L70" s="19"/>
      <c r="M70" s="19"/>
      <c r="N70" s="19"/>
      <c r="O70" s="19"/>
      <c r="P70" s="19"/>
      <c r="Q70" s="19"/>
      <c r="T70" s="19"/>
      <c r="U70" s="19"/>
      <c r="V70" s="19"/>
      <c r="W70" s="19"/>
    </row>
    <row r="71" spans="12:23" x14ac:dyDescent="0.35">
      <c r="L71" s="19"/>
      <c r="M71" s="19"/>
      <c r="N71" s="19"/>
      <c r="O71" s="19"/>
      <c r="P71" s="19"/>
      <c r="Q71" s="19"/>
      <c r="T71" s="19"/>
      <c r="U71" s="19"/>
      <c r="V71" s="19"/>
      <c r="W71" s="19"/>
    </row>
    <row r="72" spans="12:23" x14ac:dyDescent="0.35">
      <c r="L72" s="19"/>
      <c r="M72" s="19"/>
      <c r="N72" s="19"/>
      <c r="O72" s="19"/>
      <c r="P72" s="19"/>
      <c r="Q72" s="19"/>
      <c r="T72" s="19"/>
      <c r="U72" s="19"/>
      <c r="V72" s="19"/>
      <c r="W72" s="19"/>
    </row>
    <row r="73" spans="12:23" x14ac:dyDescent="0.35">
      <c r="L73" s="19"/>
      <c r="M73" s="19"/>
      <c r="N73" s="19"/>
      <c r="O73" s="19"/>
      <c r="P73" s="19"/>
      <c r="Q73" s="19"/>
      <c r="T73" s="19"/>
      <c r="U73" s="19"/>
      <c r="V73" s="19"/>
      <c r="W73" s="19"/>
    </row>
    <row r="74" spans="12:23" x14ac:dyDescent="0.35">
      <c r="L74" s="19"/>
      <c r="M74" s="19"/>
      <c r="N74" s="19"/>
      <c r="O74" s="19"/>
      <c r="P74" s="19"/>
      <c r="Q74" s="19"/>
      <c r="T74" s="19"/>
      <c r="U74" s="19"/>
      <c r="V74" s="19"/>
      <c r="W74" s="19"/>
    </row>
    <row r="75" spans="12:23" x14ac:dyDescent="0.35">
      <c r="L75" s="19"/>
      <c r="M75" s="19"/>
      <c r="N75" s="19"/>
      <c r="O75" s="19"/>
      <c r="P75" s="19"/>
      <c r="Q75" s="19"/>
      <c r="T75" s="19"/>
      <c r="U75" s="19"/>
      <c r="V75" s="19"/>
      <c r="W75" s="19"/>
    </row>
    <row r="76" spans="12:23" x14ac:dyDescent="0.35">
      <c r="L76" s="19"/>
      <c r="M76" s="19"/>
      <c r="N76" s="19"/>
      <c r="O76" s="19"/>
      <c r="P76" s="19"/>
      <c r="Q76" s="19"/>
      <c r="T76" s="19"/>
      <c r="U76" s="19"/>
      <c r="V76" s="19"/>
      <c r="W76" s="19"/>
    </row>
    <row r="77" spans="12:23" x14ac:dyDescent="0.35">
      <c r="L77" s="19"/>
      <c r="M77" s="19"/>
      <c r="N77" s="19"/>
      <c r="O77" s="19"/>
      <c r="P77" s="19"/>
      <c r="Q77" s="19"/>
      <c r="T77" s="19"/>
      <c r="U77" s="19"/>
      <c r="V77" s="19"/>
      <c r="W77" s="19"/>
    </row>
    <row r="78" spans="12:23" x14ac:dyDescent="0.35">
      <c r="L78" s="19"/>
      <c r="M78" s="19"/>
      <c r="N78" s="19"/>
      <c r="O78" s="19"/>
      <c r="P78" s="19"/>
      <c r="Q78" s="19"/>
      <c r="T78" s="19"/>
      <c r="U78" s="19"/>
      <c r="V78" s="19"/>
      <c r="W78" s="19"/>
    </row>
    <row r="79" spans="12:23" x14ac:dyDescent="0.35">
      <c r="L79" s="19"/>
      <c r="M79" s="19"/>
      <c r="N79" s="19"/>
      <c r="O79" s="19"/>
      <c r="P79" s="19"/>
      <c r="Q79" s="19"/>
      <c r="T79" s="19"/>
      <c r="U79" s="19"/>
      <c r="V79" s="19"/>
      <c r="W79" s="19"/>
    </row>
    <row r="80" spans="12:23" x14ac:dyDescent="0.35">
      <c r="L80" s="19"/>
      <c r="M80" s="19"/>
      <c r="N80" s="19"/>
      <c r="O80" s="19"/>
      <c r="P80" s="19"/>
      <c r="Q80" s="19"/>
      <c r="T80" s="19"/>
      <c r="U80" s="19"/>
      <c r="V80" s="19"/>
      <c r="W80" s="19"/>
    </row>
    <row r="81" spans="12:23" x14ac:dyDescent="0.35">
      <c r="L81" s="19"/>
      <c r="M81" s="19"/>
      <c r="N81" s="19"/>
      <c r="O81" s="19"/>
      <c r="P81" s="19"/>
      <c r="Q81" s="19"/>
      <c r="T81" s="19"/>
      <c r="U81" s="19"/>
      <c r="V81" s="19"/>
      <c r="W81" s="19"/>
    </row>
    <row r="82" spans="12:23" x14ac:dyDescent="0.35">
      <c r="L82" s="19"/>
      <c r="M82" s="19"/>
      <c r="N82" s="19"/>
      <c r="O82" s="19"/>
      <c r="P82" s="19"/>
      <c r="Q82" s="19"/>
      <c r="T82" s="19"/>
      <c r="U82" s="19"/>
      <c r="V82" s="19"/>
      <c r="W82" s="19"/>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24D26-0B3C-4EA8-B2B6-710D11A1E351}">
  <sheetPr>
    <tabColor theme="9" tint="0.79998168889431442"/>
  </sheetPr>
  <dimension ref="A1:J10"/>
  <sheetViews>
    <sheetView workbookViewId="0">
      <selection activeCell="B7" sqref="B7"/>
    </sheetView>
  </sheetViews>
  <sheetFormatPr defaultRowHeight="14.5" x14ac:dyDescent="0.35"/>
  <cols>
    <col min="1" max="1" width="21.26953125" bestFit="1" customWidth="1"/>
    <col min="2" max="2" width="15.26953125" bestFit="1" customWidth="1"/>
    <col min="3" max="3" width="8.81640625" bestFit="1" customWidth="1"/>
    <col min="5" max="5" width="10.6328125" bestFit="1" customWidth="1"/>
    <col min="6" max="6" width="16.90625" customWidth="1"/>
    <col min="8" max="8" width="15.26953125" customWidth="1"/>
    <col min="9" max="9" width="13.90625" customWidth="1"/>
    <col min="10" max="10" width="18.453125" customWidth="1"/>
  </cols>
  <sheetData>
    <row r="1" spans="1:10" s="51" customFormat="1" ht="16" customHeight="1" x14ac:dyDescent="0.35"/>
    <row r="2" spans="1:10" s="51" customFormat="1" ht="18" customHeight="1" x14ac:dyDescent="0.35"/>
    <row r="3" spans="1:10" x14ac:dyDescent="0.35">
      <c r="A3" s="14" t="s">
        <v>545</v>
      </c>
      <c r="B3" s="14" t="s">
        <v>543</v>
      </c>
      <c r="F3" s="41"/>
      <c r="I3" s="27" t="s">
        <v>519</v>
      </c>
      <c r="J3" s="28" t="s">
        <v>529</v>
      </c>
    </row>
    <row r="4" spans="1:10" x14ac:dyDescent="0.35">
      <c r="A4" s="27" t="s">
        <v>519</v>
      </c>
      <c r="B4" s="22" t="s">
        <v>546</v>
      </c>
      <c r="C4" s="22" t="s">
        <v>21</v>
      </c>
      <c r="D4" s="28" t="s">
        <v>31</v>
      </c>
      <c r="E4" s="28" t="s">
        <v>520</v>
      </c>
      <c r="F4" s="40" t="s">
        <v>547</v>
      </c>
      <c r="I4" s="34" t="s">
        <v>64</v>
      </c>
      <c r="J4" s="32">
        <v>3010</v>
      </c>
    </row>
    <row r="5" spans="1:10" x14ac:dyDescent="0.35">
      <c r="A5" s="31" t="s">
        <v>64</v>
      </c>
      <c r="B5" s="37">
        <v>4</v>
      </c>
      <c r="C5" s="37">
        <v>5</v>
      </c>
      <c r="D5" s="37">
        <v>5</v>
      </c>
      <c r="E5" s="30">
        <v>14</v>
      </c>
      <c r="F5" s="24">
        <f>GETPIVOTDATA("[Measures].[Count of Delivery Status]",A3,"[Range].[Region]","[Range].[Region].&amp;[Central]","[Range].[Order Status]","[Range].[Order Status].&amp;[Cancelled]")/GETPIVOTDATA("[Measures].[Count of Delivery Status]",A3,"[Range].[Region]","[Range].[Region].&amp;[Central]")</f>
        <v>0.35714285714285715</v>
      </c>
      <c r="I5" s="35" t="s">
        <v>28</v>
      </c>
      <c r="J5" s="30">
        <v>1842</v>
      </c>
    </row>
    <row r="6" spans="1:10" x14ac:dyDescent="0.35">
      <c r="A6" s="31" t="s">
        <v>28</v>
      </c>
      <c r="B6" s="38">
        <v>7</v>
      </c>
      <c r="C6" s="38">
        <v>3</v>
      </c>
      <c r="D6" s="38">
        <v>8</v>
      </c>
      <c r="E6" s="30">
        <v>18</v>
      </c>
      <c r="F6" s="25">
        <f>GETPIVOTDATA("[Measures].[Count of Delivery Status]",$A$3,"[Range].[Region]","[Range].[Region].&amp;[East]","[Range].[Order Status]","[Range].[Order Status].&amp;[Cancelled]")/GETPIVOTDATA("[Measures].[Count of Delivery Status]",$A$3,"[Range].[Region]","[Range].[Region].&amp;[East]")</f>
        <v>0.16666666666666666</v>
      </c>
      <c r="I6" s="35" t="s">
        <v>18</v>
      </c>
      <c r="J6" s="30">
        <v>4075</v>
      </c>
    </row>
    <row r="7" spans="1:10" x14ac:dyDescent="0.35">
      <c r="A7" s="31" t="s">
        <v>18</v>
      </c>
      <c r="B7" s="38">
        <v>7</v>
      </c>
      <c r="C7" s="38">
        <v>10</v>
      </c>
      <c r="D7" s="38">
        <v>8</v>
      </c>
      <c r="E7" s="30">
        <v>25</v>
      </c>
      <c r="F7" s="25">
        <f>GETPIVOTDATA("[Measures].[Count of Delivery Status]",$A$3,"[Range].[Region]","[Range].[Region].&amp;[North]","[Range].[Order Status]","[Range].[Order Status].&amp;[Cancelled]")/GETPIVOTDATA("[Measures].[Count of Delivery Status]",$A$3,"[Range].[Region]","[Range].[Region].&amp;[North]")</f>
        <v>0.4</v>
      </c>
      <c r="I7" s="35" t="s">
        <v>35</v>
      </c>
      <c r="J7" s="30">
        <v>1063</v>
      </c>
    </row>
    <row r="8" spans="1:10" x14ac:dyDescent="0.35">
      <c r="A8" s="31" t="s">
        <v>35</v>
      </c>
      <c r="B8" s="38">
        <v>10</v>
      </c>
      <c r="C8" s="38">
        <v>4</v>
      </c>
      <c r="D8" s="38">
        <v>6</v>
      </c>
      <c r="E8" s="30">
        <v>20</v>
      </c>
      <c r="F8" s="25">
        <f>GETPIVOTDATA("[Measures].[Count of Delivery Status]",$A$3,"[Range].[Region]","[Range].[Region].&amp;[South]","[Range].[Order Status]","[Range].[Order Status].&amp;[Cancelled]")/GETPIVOTDATA("[Measures].[Count of Delivery Status]",$A$3,"[Range].[Region]","[Range].[Region].&amp;[South]")</f>
        <v>0.2</v>
      </c>
      <c r="I8" s="36" t="s">
        <v>72</v>
      </c>
      <c r="J8" s="33">
        <v>3666</v>
      </c>
    </row>
    <row r="9" spans="1:10" x14ac:dyDescent="0.35">
      <c r="A9" s="31" t="s">
        <v>72</v>
      </c>
      <c r="B9" s="39">
        <v>8</v>
      </c>
      <c r="C9" s="39">
        <v>8</v>
      </c>
      <c r="D9" s="39">
        <v>7</v>
      </c>
      <c r="E9" s="30">
        <v>23</v>
      </c>
      <c r="F9" s="26">
        <f>GETPIVOTDATA("[Measures].[Count of Delivery Status]",$A$3,"[Range].[Region]","[Range].[Region].&amp;[West]","[Range].[Order Status]","[Range].[Order Status].&amp;[Cancelled]")/GETPIVOTDATA("[Measures].[Count of Delivery Status]",$A$3,"[Range].[Region]","[Range].[Region].&amp;[West]")</f>
        <v>0.34782608695652173</v>
      </c>
      <c r="I9" s="29" t="s">
        <v>520</v>
      </c>
      <c r="J9" s="22">
        <v>13656</v>
      </c>
    </row>
    <row r="10" spans="1:10" x14ac:dyDescent="0.35">
      <c r="A10" s="29" t="s">
        <v>520</v>
      </c>
      <c r="B10" s="22">
        <v>36</v>
      </c>
      <c r="C10" s="22">
        <v>30</v>
      </c>
      <c r="D10" s="22">
        <v>34</v>
      </c>
      <c r="E10" s="28">
        <v>100</v>
      </c>
      <c r="F10" s="23">
        <f>GETPIVOTDATA("[Measures].[Count of Delivery Status]",$A$3,"[Range].[Order Status]","[Range].[Order Status].&amp;[Cancelled]")/GETPIVOTDATA("[Measures].[Count of Delivery Status]",$A$3)</f>
        <v>0.3</v>
      </c>
    </row>
  </sheetData>
  <mergeCells count="1">
    <mergeCell ref="A1:XFD2"/>
  </mergeCells>
  <conditionalFormatting sqref="F5:F9">
    <cfRule type="colorScale" priority="3">
      <colorScale>
        <cfvo type="min"/>
        <cfvo type="percentile" val="50"/>
        <cfvo type="max"/>
        <color theme="9" tint="0.39997558519241921"/>
        <color theme="7" tint="0.59999389629810485"/>
        <color rgb="FFFF0000"/>
      </colorScale>
    </cfRule>
  </conditionalFormatting>
  <conditionalFormatting pivot="1" sqref="J4:J8">
    <cfRule type="dataBar" priority="2">
      <dataBar>
        <cfvo type="min"/>
        <cfvo type="max"/>
        <color rgb="FF638EC6"/>
      </dataBar>
      <extLst>
        <ext xmlns:x14="http://schemas.microsoft.com/office/spreadsheetml/2009/9/main" uri="{B025F937-C7B1-47D3-B67F-A62EFF666E3E}">
          <x14:id>{4AD172A6-3427-4FC3-A5D2-F94931270480}</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4AD172A6-3427-4FC3-A5D2-F94931270480}">
            <x14:dataBar minLength="0" maxLength="100" gradient="0">
              <x14:cfvo type="autoMin"/>
              <x14:cfvo type="autoMax"/>
              <x14:negativeFillColor rgb="FFFF0000"/>
              <x14:axisColor rgb="FF000000"/>
            </x14:dataBar>
          </x14:cfRule>
          <xm:sqref>J4:J8</xm:sqref>
        </x14:conditionalFormatting>
        <x14:conditionalFormatting xmlns:xm="http://schemas.microsoft.com/office/excel/2006/main" pivot="1">
          <x14:cfRule type="iconSet" priority="1" id="{611EFD33-0B64-45E6-991B-57B6ECA6429E}">
            <x14:iconSet iconSet="3Stars">
              <x14:cfvo type="percent">
                <xm:f>0</xm:f>
              </x14:cfvo>
              <x14:cfvo type="percent">
                <xm:f>33</xm:f>
              </x14:cfvo>
              <x14:cfvo type="percent">
                <xm:f>67</xm:f>
              </x14:cfvo>
            </x14:iconSet>
          </x14:cfRule>
          <xm:sqref>J4:J8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D7F08-3BED-48E7-9E49-1440BD5C3101}">
  <sheetPr>
    <tabColor theme="9" tint="0.79998168889431442"/>
  </sheetPr>
  <dimension ref="A1"/>
  <sheetViews>
    <sheetView tabSelected="1" zoomScale="51" zoomScaleNormal="100" workbookViewId="0">
      <selection activeCell="AJ41" sqref="AJ41"/>
    </sheetView>
  </sheetViews>
  <sheetFormatPr defaultRowHeight="14.5" x14ac:dyDescent="0.35"/>
  <cols>
    <col min="1" max="1" width="21.26953125" style="21" customWidth="1"/>
    <col min="2" max="2" width="15.26953125" style="21" bestFit="1" customWidth="1"/>
    <col min="3" max="3" width="4.36328125" style="21" bestFit="1" customWidth="1"/>
    <col min="4" max="5" width="5.7265625" style="21" bestFit="1" customWidth="1"/>
    <col min="6" max="6" width="5.1796875" style="21" bestFit="1" customWidth="1"/>
    <col min="7" max="7" width="10.7265625" style="21" bestFit="1" customWidth="1"/>
    <col min="8" max="8" width="14.6328125" style="21" customWidth="1"/>
    <col min="9" max="9" width="15.6328125" style="21" customWidth="1"/>
    <col min="10" max="16" width="8.7265625" style="21"/>
    <col min="17" max="17" width="16.08984375" style="21" customWidth="1"/>
    <col min="18" max="22" width="8.7265625" style="21"/>
    <col min="23" max="23" width="19" style="21" customWidth="1"/>
    <col min="24" max="16384" width="8.7265625" style="21"/>
  </cols>
  <sheetData>
    <row r="1" s="21" customFormat="1" ht="49"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3DFD2-D8BA-45D5-91F7-3D8B1F1C5074}">
  <sheetPr>
    <tabColor theme="9" tint="0.79998168889431442"/>
  </sheetPr>
  <dimension ref="A1:E55"/>
  <sheetViews>
    <sheetView workbookViewId="0">
      <selection activeCell="I12" sqref="I12"/>
    </sheetView>
  </sheetViews>
  <sheetFormatPr defaultRowHeight="14.5" x14ac:dyDescent="0.35"/>
  <cols>
    <col min="1" max="1" width="8.7265625" style="42" customWidth="1"/>
    <col min="2" max="16384" width="8.7265625" style="42"/>
  </cols>
  <sheetData>
    <row r="1" spans="1:5" s="52" customFormat="1" x14ac:dyDescent="0.35"/>
    <row r="2" spans="1:5" s="52" customFormat="1" ht="21.5" customHeight="1" x14ac:dyDescent="0.35"/>
    <row r="3" spans="1:5" ht="15.5" customHeight="1" x14ac:dyDescent="0.35"/>
    <row r="4" spans="1:5" ht="23.5" x14ac:dyDescent="0.35">
      <c r="A4" s="44" t="s">
        <v>548</v>
      </c>
      <c r="B4" s="44"/>
      <c r="C4" s="44"/>
      <c r="D4" s="44"/>
    </row>
    <row r="6" spans="1:5" x14ac:dyDescent="0.35">
      <c r="A6" s="42" t="s">
        <v>570</v>
      </c>
    </row>
    <row r="8" spans="1:5" x14ac:dyDescent="0.35">
      <c r="A8" s="42" t="s">
        <v>575</v>
      </c>
    </row>
    <row r="10" spans="1:5" x14ac:dyDescent="0.35">
      <c r="A10" s="42" t="s">
        <v>549</v>
      </c>
    </row>
    <row r="12" spans="1:5" ht="23.5" x14ac:dyDescent="0.35">
      <c r="A12" s="44" t="s">
        <v>550</v>
      </c>
      <c r="B12" s="44"/>
      <c r="C12" s="44"/>
      <c r="D12" s="44"/>
      <c r="E12" s="45"/>
    </row>
    <row r="14" spans="1:5" x14ac:dyDescent="0.35">
      <c r="A14" s="42" t="s">
        <v>551</v>
      </c>
    </row>
    <row r="16" spans="1:5" x14ac:dyDescent="0.35">
      <c r="A16" s="42" t="s">
        <v>571</v>
      </c>
    </row>
    <row r="18" spans="1:4" ht="23.5" x14ac:dyDescent="0.35">
      <c r="A18" s="44" t="s">
        <v>552</v>
      </c>
      <c r="B18" s="43"/>
      <c r="C18" s="43"/>
      <c r="D18" s="43"/>
    </row>
    <row r="20" spans="1:4" x14ac:dyDescent="0.35">
      <c r="A20" s="42" t="s">
        <v>572</v>
      </c>
    </row>
    <row r="22" spans="1:4" x14ac:dyDescent="0.35">
      <c r="A22" s="42" t="s">
        <v>574</v>
      </c>
    </row>
    <row r="23" spans="1:4" x14ac:dyDescent="0.35">
      <c r="A23" s="42" t="s">
        <v>573</v>
      </c>
    </row>
    <row r="25" spans="1:4" ht="23.5" x14ac:dyDescent="0.35">
      <c r="A25" s="44" t="s">
        <v>553</v>
      </c>
    </row>
    <row r="27" spans="1:4" x14ac:dyDescent="0.35">
      <c r="A27" s="42" t="s">
        <v>554</v>
      </c>
    </row>
    <row r="29" spans="1:4" x14ac:dyDescent="0.35">
      <c r="A29" s="42" t="s">
        <v>555</v>
      </c>
    </row>
    <row r="30" spans="1:4" x14ac:dyDescent="0.35">
      <c r="A30" s="42" t="s">
        <v>556</v>
      </c>
    </row>
    <row r="31" spans="1:4" x14ac:dyDescent="0.35">
      <c r="A31" s="42" t="s">
        <v>557</v>
      </c>
    </row>
    <row r="33" spans="1:1" ht="23.5" x14ac:dyDescent="0.35">
      <c r="A33" s="44" t="s">
        <v>558</v>
      </c>
    </row>
    <row r="35" spans="1:1" x14ac:dyDescent="0.35">
      <c r="A35" s="42" t="s">
        <v>559</v>
      </c>
    </row>
    <row r="37" spans="1:1" ht="18.5" x14ac:dyDescent="0.35">
      <c r="A37" s="46" t="s">
        <v>560</v>
      </c>
    </row>
    <row r="39" spans="1:1" x14ac:dyDescent="0.35">
      <c r="A39" s="42" t="s">
        <v>561</v>
      </c>
    </row>
    <row r="41" spans="1:1" ht="18.5" x14ac:dyDescent="0.35">
      <c r="A41" s="46" t="s">
        <v>562</v>
      </c>
    </row>
    <row r="43" spans="1:1" x14ac:dyDescent="0.35">
      <c r="A43" s="42" t="s">
        <v>563</v>
      </c>
    </row>
    <row r="45" spans="1:1" ht="18.5" x14ac:dyDescent="0.35">
      <c r="A45" s="46" t="s">
        <v>564</v>
      </c>
    </row>
    <row r="47" spans="1:1" x14ac:dyDescent="0.35">
      <c r="A47" s="42" t="s">
        <v>565</v>
      </c>
    </row>
    <row r="49" spans="1:1" ht="18.5" x14ac:dyDescent="0.35">
      <c r="A49" s="46" t="s">
        <v>566</v>
      </c>
    </row>
    <row r="51" spans="1:1" x14ac:dyDescent="0.35">
      <c r="A51" s="42" t="s">
        <v>567</v>
      </c>
    </row>
    <row r="53" spans="1:1" ht="18.5" x14ac:dyDescent="0.35">
      <c r="A53" s="46" t="s">
        <v>568</v>
      </c>
    </row>
    <row r="55" spans="1:1" x14ac:dyDescent="0.35">
      <c r="A55" s="42" t="s">
        <v>569</v>
      </c>
    </row>
  </sheetData>
  <mergeCells count="1">
    <mergeCell ref="A1:XFD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AmazonSales_RawData</vt:lpstr>
      <vt:lpstr>ProductMaster</vt:lpstr>
      <vt:lpstr>CustomerMaster</vt:lpstr>
      <vt:lpstr>RegionGoals</vt:lpstr>
      <vt:lpstr>AmazonSales_Clean</vt:lpstr>
      <vt:lpstr>Sheet2</vt:lpstr>
      <vt:lpstr>PivotTable</vt:lpstr>
      <vt:lpstr> Advanced Reporting</vt:lpstr>
      <vt:lpstr>KPI_Dashboard</vt:lpstr>
      <vt:lpstr>Brainstorming Reflection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2026-03-10T17:48:56Z</dcterms:modified>
</cp:coreProperties>
</file>